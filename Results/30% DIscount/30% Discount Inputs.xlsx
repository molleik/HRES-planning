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30% DIscount/"/>
    </mc:Choice>
  </mc:AlternateContent>
  <xr:revisionPtr revIDLastSave="15" documentId="13_ncr:1_{E51F3817-D31A-41BD-B2BA-6DB6099B869A}" xr6:coauthVersionLast="47" xr6:coauthVersionMax="47" xr10:uidLastSave="{E9C78C52-94CF-4441-9943-1E6E4E129B2D}"/>
  <bookViews>
    <workbookView xWindow="-108" yWindow="-108" windowWidth="23256" windowHeight="12456" activeTab="4" xr2:uid="{5D9B682F-424D-4C91-99E5-52391ABFC195}"/>
  </bookViews>
  <sheets>
    <sheet name="General Parameters" sheetId="1" r:id="rId1"/>
    <sheet name="Probabilities" sheetId="16" r:id="rId2"/>
    <sheet name="Generation" sheetId="2" r:id="rId3"/>
    <sheet name="Generation Unit Capex" sheetId="17" r:id="rId4"/>
    <sheet name="Storage" sheetId="3" r:id="rId5"/>
    <sheet name="Storage Power Unit Capex" sheetId="18" r:id="rId6"/>
    <sheet name="Storage Energy Unit Capex" sheetId="19" r:id="rId7"/>
    <sheet name="Time Frame" sheetId="4" r:id="rId8"/>
    <sheet name="Hourly Demand" sheetId="5" r:id="rId9"/>
    <sheet name="Demand Forecast" sheetId="6" r:id="rId10"/>
    <sheet name="Fuel Prices" sheetId="7" r:id="rId11"/>
    <sheet name="PV CF" sheetId="8" r:id="rId12"/>
    <sheet name="Wind CF" sheetId="9" r:id="rId13"/>
    <sheet name="Rm Val" sheetId="22" r:id="rId14"/>
    <sheet name="Rm ValS" sheetId="2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16" l="1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2" i="16"/>
  <c r="A82" i="16"/>
  <c r="A81" i="16"/>
  <c r="A80" i="16"/>
  <c r="A79" i="16"/>
  <c r="A78" i="16"/>
  <c r="A77" i="16"/>
  <c r="A76" i="16"/>
  <c r="A75" i="16"/>
  <c r="A74" i="16"/>
  <c r="A73" i="16"/>
  <c r="C2" i="2"/>
  <c r="B2" i="6"/>
  <c r="C2" i="6" s="1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</calcChain>
</file>

<file path=xl/sharedStrings.xml><?xml version="1.0" encoding="utf-8"?>
<sst xmlns="http://schemas.openxmlformats.org/spreadsheetml/2006/main" count="50" uniqueCount="46">
  <si>
    <t>Discount Rate</t>
  </si>
  <si>
    <t>Emissions Unit Tax</t>
  </si>
  <si>
    <t>VOLL</t>
  </si>
  <si>
    <t>VOEL</t>
  </si>
  <si>
    <t>Purchased Limit</t>
  </si>
  <si>
    <t>Sold Limit</t>
  </si>
  <si>
    <t>Early Retirement</t>
  </si>
  <si>
    <t>GT</t>
  </si>
  <si>
    <t>GT Index</t>
  </si>
  <si>
    <t>Generation Unit Fixed Opex</t>
  </si>
  <si>
    <t>Generation Unit Non Fuel Variable Opex</t>
  </si>
  <si>
    <t>Heat Rate</t>
  </si>
  <si>
    <t>Fuel</t>
  </si>
  <si>
    <t>Pollutant Emissions</t>
  </si>
  <si>
    <t>Life Time</t>
  </si>
  <si>
    <t>Installed Limit</t>
  </si>
  <si>
    <t>Diesel</t>
  </si>
  <si>
    <t>PV</t>
  </si>
  <si>
    <t>Wind</t>
  </si>
  <si>
    <t>Type</t>
  </si>
  <si>
    <t>ST Index</t>
  </si>
  <si>
    <t>Storage Power Unit Fixed Opex</t>
  </si>
  <si>
    <t>Storage Energy Unit Fixed Opex</t>
  </si>
  <si>
    <t>Storage Unit Non Fuel Variable Opex</t>
  </si>
  <si>
    <t>Life Time ST</t>
  </si>
  <si>
    <t>Max Storage</t>
  </si>
  <si>
    <t>Min Storage</t>
  </si>
  <si>
    <t>Charging Efficiency</t>
  </si>
  <si>
    <t>Discharging Efficiency</t>
  </si>
  <si>
    <t>Battery</t>
  </si>
  <si>
    <t>Years</t>
  </si>
  <si>
    <t>Representative Period</t>
  </si>
  <si>
    <t>Weight of representative period</t>
  </si>
  <si>
    <t>Subperiod with a period</t>
  </si>
  <si>
    <t>Tgrid Start</t>
  </si>
  <si>
    <t>Tgrid End</t>
  </si>
  <si>
    <t>EDLTars</t>
  </si>
  <si>
    <t>Probabilities</t>
  </si>
  <si>
    <t>Planning Reserve Factor</t>
  </si>
  <si>
    <t>Planning Reserve</t>
  </si>
  <si>
    <t>Maximum Usage</t>
  </si>
  <si>
    <t>VOUR</t>
  </si>
  <si>
    <t>FiTs</t>
  </si>
  <si>
    <t>Discount</t>
  </si>
  <si>
    <t>Storage Power Discount</t>
  </si>
  <si>
    <t>Storage Energy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</si>
</sst>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2" fontId="0" fillId="0" borderId="0" xfId="0" applyNumberFormat="1"/>
    <xf numFmtId="9" fontId="0" fillId="0" borderId="0" xfId="1" applyFont="1"/>
    <xf numFmtId="10" fontId="0" fillId="0" borderId="0" xfId="0" applyNumberFormat="1"/>
    <xf numFmtId="0" fontId="2" fillId="0" borderId="1" xfId="0" applyFont="1" applyBorder="1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2">
    <dxf>
      <fill>
        <patternFill>
          <bgColor rgb="FFFFFF0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8C59-B82F-47BD-899F-3A390B8DBFE0}">
  <dimension ref="A1:M35"/>
  <sheetViews>
    <sheetView topLeftCell="B1" zoomScale="104" workbookViewId="0">
      <selection activeCell="I5" sqref="I5"/>
    </sheetView>
  </sheetViews>
  <sheetFormatPr defaultRowHeight="14.4" x14ac:dyDescent="0.3"/>
  <cols>
    <col min="1" max="1" width="13.33203125" bestFit="1" customWidth="1"/>
    <col min="2" max="2" width="17.5546875" bestFit="1" customWidth="1"/>
    <col min="6" max="6" width="12.33203125" bestFit="1" customWidth="1"/>
    <col min="9" max="9" width="15.109375" bestFit="1" customWidth="1"/>
    <col min="10" max="10" width="9.6640625" bestFit="1" customWidth="1"/>
    <col min="11" max="11" width="17.5546875" bestFit="1" customWidth="1"/>
    <col min="12" max="12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41</v>
      </c>
      <c r="F1" t="s">
        <v>4</v>
      </c>
      <c r="G1" t="s">
        <v>5</v>
      </c>
      <c r="H1" t="s">
        <v>6</v>
      </c>
      <c r="I1" t="s">
        <v>34</v>
      </c>
      <c r="J1" t="s">
        <v>35</v>
      </c>
      <c r="K1" t="s">
        <v>39</v>
      </c>
      <c r="L1" t="s">
        <v>36</v>
      </c>
      <c r="M1" t="s">
        <v>42</v>
      </c>
    </row>
    <row r="2" spans="1:13" x14ac:dyDescent="0.3">
      <c r="A2">
        <v>0.05</v>
      </c>
      <c r="B2">
        <v>0</v>
      </c>
      <c r="C2">
        <v>6.9999999999999999E-4</v>
      </c>
      <c r="D2">
        <v>0</v>
      </c>
      <c r="E2">
        <v>0</v>
      </c>
      <c r="F2">
        <v>35</v>
      </c>
      <c r="G2">
        <v>40</v>
      </c>
      <c r="H2">
        <v>1</v>
      </c>
      <c r="I2">
        <v>1</v>
      </c>
      <c r="J2">
        <v>10</v>
      </c>
      <c r="K2" s="1">
        <v>0</v>
      </c>
      <c r="L2">
        <v>0.1</v>
      </c>
      <c r="M2">
        <v>0.03</v>
      </c>
    </row>
    <row r="3" spans="1:13" x14ac:dyDescent="0.3">
      <c r="L3">
        <v>0.185</v>
      </c>
      <c r="M3">
        <v>0.08</v>
      </c>
    </row>
    <row r="4" spans="1:13" x14ac:dyDescent="0.3">
      <c r="L4">
        <v>0.27</v>
      </c>
      <c r="M4">
        <v>0.15</v>
      </c>
    </row>
    <row r="10" spans="1:13" x14ac:dyDescent="0.3">
      <c r="H10" s="8"/>
    </row>
    <row r="35" spans="13:13" x14ac:dyDescent="0.3">
      <c r="M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5AF5-D584-46A2-94C4-1D81CE4B19E1}">
  <dimension ref="A1:A83"/>
  <sheetViews>
    <sheetView workbookViewId="0">
      <selection activeCell="C28" sqref="C28"/>
    </sheetView>
  </sheetViews>
  <sheetFormatPr defaultRowHeight="14.4" x14ac:dyDescent="0.3"/>
  <cols>
    <col min="1" max="1" width="12.88671875" customWidth="1"/>
  </cols>
  <sheetData>
    <row r="1" spans="1:1" x14ac:dyDescent="0.3">
      <c r="A1" t="s">
        <v>37</v>
      </c>
    </row>
    <row r="2" spans="1:1" x14ac:dyDescent="0.3">
      <c r="A2" s="7">
        <f>1/71</f>
        <v>1.4084507042253521E-2</v>
      </c>
    </row>
    <row r="3" spans="1:1" x14ac:dyDescent="0.3">
      <c r="A3" s="7">
        <f t="shared" ref="A3:A66" si="0">1/71</f>
        <v>1.4084507042253521E-2</v>
      </c>
    </row>
    <row r="4" spans="1:1" x14ac:dyDescent="0.3">
      <c r="A4" s="7">
        <f t="shared" si="0"/>
        <v>1.4084507042253521E-2</v>
      </c>
    </row>
    <row r="5" spans="1:1" x14ac:dyDescent="0.3">
      <c r="A5" s="7">
        <f t="shared" si="0"/>
        <v>1.4084507042253521E-2</v>
      </c>
    </row>
    <row r="6" spans="1:1" x14ac:dyDescent="0.3">
      <c r="A6" s="7">
        <f t="shared" si="0"/>
        <v>1.4084507042253521E-2</v>
      </c>
    </row>
    <row r="7" spans="1:1" x14ac:dyDescent="0.3">
      <c r="A7" s="7">
        <f t="shared" si="0"/>
        <v>1.4084507042253521E-2</v>
      </c>
    </row>
    <row r="8" spans="1:1" x14ac:dyDescent="0.3">
      <c r="A8" s="7">
        <f t="shared" si="0"/>
        <v>1.4084507042253521E-2</v>
      </c>
    </row>
    <row r="9" spans="1:1" x14ac:dyDescent="0.3">
      <c r="A9" s="7">
        <f t="shared" si="0"/>
        <v>1.4084507042253521E-2</v>
      </c>
    </row>
    <row r="10" spans="1:1" x14ac:dyDescent="0.3">
      <c r="A10" s="7">
        <f t="shared" si="0"/>
        <v>1.4084507042253521E-2</v>
      </c>
    </row>
    <row r="11" spans="1:1" x14ac:dyDescent="0.3">
      <c r="A11" s="7">
        <f t="shared" si="0"/>
        <v>1.4084507042253521E-2</v>
      </c>
    </row>
    <row r="12" spans="1:1" x14ac:dyDescent="0.3">
      <c r="A12" s="7">
        <f t="shared" si="0"/>
        <v>1.4084507042253521E-2</v>
      </c>
    </row>
    <row r="13" spans="1:1" x14ac:dyDescent="0.3">
      <c r="A13" s="7">
        <f t="shared" si="0"/>
        <v>1.4084507042253521E-2</v>
      </c>
    </row>
    <row r="14" spans="1:1" x14ac:dyDescent="0.3">
      <c r="A14" s="7">
        <f t="shared" si="0"/>
        <v>1.4084507042253521E-2</v>
      </c>
    </row>
    <row r="15" spans="1:1" x14ac:dyDescent="0.3">
      <c r="A15" s="7">
        <f t="shared" si="0"/>
        <v>1.4084507042253521E-2</v>
      </c>
    </row>
    <row r="16" spans="1:1" x14ac:dyDescent="0.3">
      <c r="A16" s="7">
        <f t="shared" si="0"/>
        <v>1.4084507042253521E-2</v>
      </c>
    </row>
    <row r="17" spans="1:1" x14ac:dyDescent="0.3">
      <c r="A17" s="7">
        <f t="shared" si="0"/>
        <v>1.4084507042253521E-2</v>
      </c>
    </row>
    <row r="18" spans="1:1" x14ac:dyDescent="0.3">
      <c r="A18" s="7">
        <f t="shared" si="0"/>
        <v>1.4084507042253521E-2</v>
      </c>
    </row>
    <row r="19" spans="1:1" x14ac:dyDescent="0.3">
      <c r="A19" s="7">
        <f t="shared" si="0"/>
        <v>1.4084507042253521E-2</v>
      </c>
    </row>
    <row r="20" spans="1:1" x14ac:dyDescent="0.3">
      <c r="A20" s="7">
        <f t="shared" si="0"/>
        <v>1.4084507042253521E-2</v>
      </c>
    </row>
    <row r="21" spans="1:1" x14ac:dyDescent="0.3">
      <c r="A21" s="7">
        <f t="shared" si="0"/>
        <v>1.4084507042253521E-2</v>
      </c>
    </row>
    <row r="22" spans="1:1" x14ac:dyDescent="0.3">
      <c r="A22" s="7">
        <f t="shared" si="0"/>
        <v>1.4084507042253521E-2</v>
      </c>
    </row>
    <row r="23" spans="1:1" x14ac:dyDescent="0.3">
      <c r="A23" s="7">
        <f t="shared" si="0"/>
        <v>1.4084507042253521E-2</v>
      </c>
    </row>
    <row r="24" spans="1:1" x14ac:dyDescent="0.3">
      <c r="A24" s="7">
        <f t="shared" si="0"/>
        <v>1.4084507042253521E-2</v>
      </c>
    </row>
    <row r="25" spans="1:1" x14ac:dyDescent="0.3">
      <c r="A25" s="7">
        <f t="shared" si="0"/>
        <v>1.4084507042253521E-2</v>
      </c>
    </row>
    <row r="26" spans="1:1" x14ac:dyDescent="0.3">
      <c r="A26" s="7">
        <f t="shared" si="0"/>
        <v>1.4084507042253521E-2</v>
      </c>
    </row>
    <row r="27" spans="1:1" x14ac:dyDescent="0.3">
      <c r="A27" s="7">
        <f t="shared" si="0"/>
        <v>1.4084507042253521E-2</v>
      </c>
    </row>
    <row r="28" spans="1:1" x14ac:dyDescent="0.3">
      <c r="A28" s="7">
        <f t="shared" si="0"/>
        <v>1.4084507042253521E-2</v>
      </c>
    </row>
    <row r="29" spans="1:1" x14ac:dyDescent="0.3">
      <c r="A29" s="7">
        <f t="shared" si="0"/>
        <v>1.4084507042253521E-2</v>
      </c>
    </row>
    <row r="30" spans="1:1" x14ac:dyDescent="0.3">
      <c r="A30" s="7">
        <f t="shared" si="0"/>
        <v>1.4084507042253521E-2</v>
      </c>
    </row>
    <row r="31" spans="1:1" x14ac:dyDescent="0.3">
      <c r="A31" s="7">
        <f t="shared" si="0"/>
        <v>1.4084507042253521E-2</v>
      </c>
    </row>
    <row r="32" spans="1:1" x14ac:dyDescent="0.3">
      <c r="A32" s="7">
        <f t="shared" si="0"/>
        <v>1.4084507042253521E-2</v>
      </c>
    </row>
    <row r="33" spans="1:1" x14ac:dyDescent="0.3">
      <c r="A33" s="7">
        <f t="shared" si="0"/>
        <v>1.4084507042253521E-2</v>
      </c>
    </row>
    <row r="34" spans="1:1" x14ac:dyDescent="0.3">
      <c r="A34" s="7">
        <f t="shared" si="0"/>
        <v>1.4084507042253521E-2</v>
      </c>
    </row>
    <row r="35" spans="1:1" x14ac:dyDescent="0.3">
      <c r="A35" s="7">
        <f t="shared" si="0"/>
        <v>1.4084507042253521E-2</v>
      </c>
    </row>
    <row r="36" spans="1:1" x14ac:dyDescent="0.3">
      <c r="A36" s="7">
        <f t="shared" si="0"/>
        <v>1.4084507042253521E-2</v>
      </c>
    </row>
    <row r="37" spans="1:1" x14ac:dyDescent="0.3">
      <c r="A37" s="7">
        <f t="shared" si="0"/>
        <v>1.4084507042253521E-2</v>
      </c>
    </row>
    <row r="38" spans="1:1" x14ac:dyDescent="0.3">
      <c r="A38" s="7">
        <f t="shared" si="0"/>
        <v>1.4084507042253521E-2</v>
      </c>
    </row>
    <row r="39" spans="1:1" x14ac:dyDescent="0.3">
      <c r="A39" s="7">
        <f t="shared" si="0"/>
        <v>1.4084507042253521E-2</v>
      </c>
    </row>
    <row r="40" spans="1:1" x14ac:dyDescent="0.3">
      <c r="A40" s="7">
        <f t="shared" si="0"/>
        <v>1.4084507042253521E-2</v>
      </c>
    </row>
    <row r="41" spans="1:1" x14ac:dyDescent="0.3">
      <c r="A41" s="7">
        <f t="shared" si="0"/>
        <v>1.4084507042253521E-2</v>
      </c>
    </row>
    <row r="42" spans="1:1" x14ac:dyDescent="0.3">
      <c r="A42" s="7">
        <f t="shared" si="0"/>
        <v>1.4084507042253521E-2</v>
      </c>
    </row>
    <row r="43" spans="1:1" x14ac:dyDescent="0.3">
      <c r="A43" s="7">
        <f t="shared" si="0"/>
        <v>1.4084507042253521E-2</v>
      </c>
    </row>
    <row r="44" spans="1:1" x14ac:dyDescent="0.3">
      <c r="A44" s="7">
        <f t="shared" si="0"/>
        <v>1.4084507042253521E-2</v>
      </c>
    </row>
    <row r="45" spans="1:1" x14ac:dyDescent="0.3">
      <c r="A45" s="7">
        <f t="shared" si="0"/>
        <v>1.4084507042253521E-2</v>
      </c>
    </row>
    <row r="46" spans="1:1" x14ac:dyDescent="0.3">
      <c r="A46" s="7">
        <f t="shared" si="0"/>
        <v>1.4084507042253521E-2</v>
      </c>
    </row>
    <row r="47" spans="1:1" x14ac:dyDescent="0.3">
      <c r="A47" s="7">
        <f t="shared" si="0"/>
        <v>1.4084507042253521E-2</v>
      </c>
    </row>
    <row r="48" spans="1:1" x14ac:dyDescent="0.3">
      <c r="A48" s="7">
        <f t="shared" si="0"/>
        <v>1.4084507042253521E-2</v>
      </c>
    </row>
    <row r="49" spans="1:1" x14ac:dyDescent="0.3">
      <c r="A49" s="7">
        <f t="shared" si="0"/>
        <v>1.4084507042253521E-2</v>
      </c>
    </row>
    <row r="50" spans="1:1" x14ac:dyDescent="0.3">
      <c r="A50" s="7">
        <f t="shared" si="0"/>
        <v>1.4084507042253521E-2</v>
      </c>
    </row>
    <row r="51" spans="1:1" x14ac:dyDescent="0.3">
      <c r="A51" s="7">
        <f t="shared" si="0"/>
        <v>1.4084507042253521E-2</v>
      </c>
    </row>
    <row r="52" spans="1:1" x14ac:dyDescent="0.3">
      <c r="A52" s="7">
        <f t="shared" si="0"/>
        <v>1.4084507042253521E-2</v>
      </c>
    </row>
    <row r="53" spans="1:1" x14ac:dyDescent="0.3">
      <c r="A53" s="7">
        <f t="shared" si="0"/>
        <v>1.4084507042253521E-2</v>
      </c>
    </row>
    <row r="54" spans="1:1" x14ac:dyDescent="0.3">
      <c r="A54" s="7">
        <f t="shared" si="0"/>
        <v>1.4084507042253521E-2</v>
      </c>
    </row>
    <row r="55" spans="1:1" x14ac:dyDescent="0.3">
      <c r="A55" s="7">
        <f t="shared" si="0"/>
        <v>1.4084507042253521E-2</v>
      </c>
    </row>
    <row r="56" spans="1:1" x14ac:dyDescent="0.3">
      <c r="A56" s="7">
        <f t="shared" si="0"/>
        <v>1.4084507042253521E-2</v>
      </c>
    </row>
    <row r="57" spans="1:1" x14ac:dyDescent="0.3">
      <c r="A57" s="7">
        <f t="shared" si="0"/>
        <v>1.4084507042253521E-2</v>
      </c>
    </row>
    <row r="58" spans="1:1" x14ac:dyDescent="0.3">
      <c r="A58" s="7">
        <f t="shared" si="0"/>
        <v>1.4084507042253521E-2</v>
      </c>
    </row>
    <row r="59" spans="1:1" x14ac:dyDescent="0.3">
      <c r="A59" s="7">
        <f t="shared" si="0"/>
        <v>1.4084507042253521E-2</v>
      </c>
    </row>
    <row r="60" spans="1:1" x14ac:dyDescent="0.3">
      <c r="A60" s="7">
        <f t="shared" si="0"/>
        <v>1.4084507042253521E-2</v>
      </c>
    </row>
    <row r="61" spans="1:1" x14ac:dyDescent="0.3">
      <c r="A61" s="7">
        <f t="shared" si="0"/>
        <v>1.4084507042253521E-2</v>
      </c>
    </row>
    <row r="62" spans="1:1" x14ac:dyDescent="0.3">
      <c r="A62" s="7">
        <f t="shared" si="0"/>
        <v>1.4084507042253521E-2</v>
      </c>
    </row>
    <row r="63" spans="1:1" x14ac:dyDescent="0.3">
      <c r="A63" s="7">
        <f t="shared" si="0"/>
        <v>1.4084507042253521E-2</v>
      </c>
    </row>
    <row r="64" spans="1:1" x14ac:dyDescent="0.3">
      <c r="A64" s="7">
        <f t="shared" si="0"/>
        <v>1.4084507042253521E-2</v>
      </c>
    </row>
    <row r="65" spans="1:1" x14ac:dyDescent="0.3">
      <c r="A65" s="7">
        <f t="shared" si="0"/>
        <v>1.4084507042253521E-2</v>
      </c>
    </row>
    <row r="66" spans="1:1" x14ac:dyDescent="0.3">
      <c r="A66" s="7">
        <f t="shared" si="0"/>
        <v>1.4084507042253521E-2</v>
      </c>
    </row>
    <row r="67" spans="1:1" x14ac:dyDescent="0.3">
      <c r="A67" s="7">
        <f t="shared" ref="A67:A72" si="1">1/71</f>
        <v>1.4084507042253521E-2</v>
      </c>
    </row>
    <row r="68" spans="1:1" x14ac:dyDescent="0.3">
      <c r="A68" s="7">
        <f t="shared" si="1"/>
        <v>1.4084507042253521E-2</v>
      </c>
    </row>
    <row r="69" spans="1:1" x14ac:dyDescent="0.3">
      <c r="A69" s="7">
        <f t="shared" si="1"/>
        <v>1.4084507042253521E-2</v>
      </c>
    </row>
    <row r="70" spans="1:1" x14ac:dyDescent="0.3">
      <c r="A70" s="7">
        <f t="shared" si="1"/>
        <v>1.4084507042253521E-2</v>
      </c>
    </row>
    <row r="71" spans="1:1" x14ac:dyDescent="0.3">
      <c r="A71" s="7">
        <f t="shared" si="1"/>
        <v>1.4084507042253521E-2</v>
      </c>
    </row>
    <row r="72" spans="1:1" x14ac:dyDescent="0.3">
      <c r="A72" s="7">
        <f t="shared" si="1"/>
        <v>1.4084507042253521E-2</v>
      </c>
    </row>
    <row r="73" spans="1:1" x14ac:dyDescent="0.3">
      <c r="A73" s="7">
        <f t="shared" ref="A73:A82" si="2">1/81</f>
        <v>1.2345679012345678E-2</v>
      </c>
    </row>
    <row r="74" spans="1:1" x14ac:dyDescent="0.3">
      <c r="A74" s="7">
        <f t="shared" si="2"/>
        <v>1.2345679012345678E-2</v>
      </c>
    </row>
    <row r="75" spans="1:1" x14ac:dyDescent="0.3">
      <c r="A75" s="7">
        <f t="shared" si="2"/>
        <v>1.2345679012345678E-2</v>
      </c>
    </row>
    <row r="76" spans="1:1" x14ac:dyDescent="0.3">
      <c r="A76" s="7">
        <f t="shared" si="2"/>
        <v>1.2345679012345678E-2</v>
      </c>
    </row>
    <row r="77" spans="1:1" x14ac:dyDescent="0.3">
      <c r="A77" s="7">
        <f t="shared" si="2"/>
        <v>1.2345679012345678E-2</v>
      </c>
    </row>
    <row r="78" spans="1:1" x14ac:dyDescent="0.3">
      <c r="A78" s="7">
        <f t="shared" si="2"/>
        <v>1.2345679012345678E-2</v>
      </c>
    </row>
    <row r="79" spans="1:1" x14ac:dyDescent="0.3">
      <c r="A79" s="7">
        <f t="shared" si="2"/>
        <v>1.2345679012345678E-2</v>
      </c>
    </row>
    <row r="80" spans="1:1" x14ac:dyDescent="0.3">
      <c r="A80" s="7">
        <f t="shared" si="2"/>
        <v>1.2345679012345678E-2</v>
      </c>
    </row>
    <row r="81" spans="1:1" x14ac:dyDescent="0.3">
      <c r="A81" s="7">
        <f t="shared" si="2"/>
        <v>1.2345679012345678E-2</v>
      </c>
    </row>
    <row r="82" spans="1:1" x14ac:dyDescent="0.3">
      <c r="A82" s="7">
        <f t="shared" si="2"/>
        <v>1.2345679012345678E-2</v>
      </c>
    </row>
    <row r="83" spans="1:1" x14ac:dyDescent="0.3">
      <c r="A8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4D37-154C-45E4-912E-22D971B0F932}">
  <dimension ref="A1:L4"/>
  <sheetViews>
    <sheetView workbookViewId="0">
      <selection activeCell="L3" sqref="L3"/>
    </sheetView>
  </sheetViews>
  <sheetFormatPr defaultRowHeight="14.4" x14ac:dyDescent="0.3"/>
  <cols>
    <col min="1" max="1" width="5.88671875" bestFit="1" customWidth="1"/>
    <col min="2" max="2" width="8.109375" bestFit="1" customWidth="1"/>
    <col min="3" max="3" width="23.6640625" bestFit="1" customWidth="1"/>
    <col min="4" max="4" width="34.109375" bestFit="1" customWidth="1"/>
    <col min="5" max="5" width="9.109375" bestFit="1" customWidth="1"/>
    <col min="6" max="6" width="5.88671875" bestFit="1" customWidth="1"/>
    <col min="7" max="7" width="16.77734375" bestFit="1" customWidth="1"/>
    <col min="8" max="8" width="8.44140625" bestFit="1" customWidth="1"/>
    <col min="9" max="9" width="12.33203125" bestFit="1" customWidth="1"/>
    <col min="10" max="10" width="20.5546875" bestFit="1" customWidth="1"/>
    <col min="11" max="11" width="19.33203125" bestFit="1" customWidth="1"/>
    <col min="12" max="12" width="20.5546875" bestFit="1" customWidth="1"/>
    <col min="13" max="13" width="14.77734375" bestFit="1" customWidth="1"/>
  </cols>
  <sheetData>
    <row r="1" spans="1:1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38</v>
      </c>
      <c r="K1" t="s">
        <v>40</v>
      </c>
      <c r="L1" t="s">
        <v>43</v>
      </c>
    </row>
    <row r="2" spans="1:12" x14ac:dyDescent="0.3">
      <c r="A2" t="s">
        <v>16</v>
      </c>
      <c r="B2">
        <v>0</v>
      </c>
      <c r="C2">
        <f>57000/1000000</f>
        <v>5.7000000000000002E-2</v>
      </c>
      <c r="D2">
        <v>1.4E-5</v>
      </c>
      <c r="E2">
        <v>260</v>
      </c>
      <c r="F2" t="s">
        <v>16</v>
      </c>
      <c r="G2">
        <v>0.79</v>
      </c>
      <c r="H2">
        <v>5</v>
      </c>
      <c r="I2">
        <v>1000</v>
      </c>
      <c r="J2">
        <v>1</v>
      </c>
      <c r="K2" s="3">
        <v>0.92</v>
      </c>
      <c r="L2" s="3">
        <v>0.3</v>
      </c>
    </row>
    <row r="3" spans="1:12" x14ac:dyDescent="0.3">
      <c r="A3" t="s">
        <v>17</v>
      </c>
      <c r="B3">
        <v>1</v>
      </c>
      <c r="C3">
        <v>1.2500000000000001E-2</v>
      </c>
      <c r="D3">
        <v>0</v>
      </c>
      <c r="E3">
        <v>0</v>
      </c>
      <c r="F3" t="s">
        <v>17</v>
      </c>
      <c r="G3">
        <v>0</v>
      </c>
      <c r="H3">
        <v>30</v>
      </c>
      <c r="I3">
        <v>30</v>
      </c>
      <c r="J3">
        <v>0.21</v>
      </c>
      <c r="K3" s="3">
        <v>1</v>
      </c>
      <c r="L3" s="3">
        <v>0.3</v>
      </c>
    </row>
    <row r="4" spans="1:12" x14ac:dyDescent="0.3">
      <c r="A4" t="s">
        <v>18</v>
      </c>
      <c r="B4">
        <v>2</v>
      </c>
      <c r="C4">
        <v>3.2250000000000001E-2</v>
      </c>
      <c r="D4">
        <v>0</v>
      </c>
      <c r="E4">
        <v>0</v>
      </c>
      <c r="F4" t="s">
        <v>18</v>
      </c>
      <c r="G4">
        <v>0</v>
      </c>
      <c r="H4">
        <v>20</v>
      </c>
      <c r="I4">
        <v>25</v>
      </c>
      <c r="J4">
        <v>0.11</v>
      </c>
      <c r="K4" s="3">
        <v>1</v>
      </c>
      <c r="L4" s="3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6646-3C9E-4192-ACE2-2A90B35E190A}">
  <dimension ref="A1:U4"/>
  <sheetViews>
    <sheetView workbookViewId="0">
      <selection activeCell="H10" sqref="H10"/>
    </sheetView>
  </sheetViews>
  <sheetFormatPr defaultRowHeight="14.4" x14ac:dyDescent="0.3"/>
  <sheetData>
    <row r="1" spans="1:21" x14ac:dyDescent="0.3">
      <c r="A1" s="6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</row>
    <row r="2" spans="1:21" x14ac:dyDescent="0.3">
      <c r="A2" s="6">
        <v>0.5</v>
      </c>
      <c r="B2" s="6">
        <v>0.5</v>
      </c>
      <c r="C2" s="6">
        <v>0.5</v>
      </c>
      <c r="D2" s="6">
        <v>0.5</v>
      </c>
      <c r="E2" s="6">
        <v>0.5</v>
      </c>
      <c r="F2" s="6">
        <v>0.5</v>
      </c>
      <c r="G2" s="6">
        <v>0.5</v>
      </c>
      <c r="H2" s="6">
        <v>0.5</v>
      </c>
      <c r="I2" s="6">
        <v>0.5</v>
      </c>
      <c r="J2" s="6">
        <v>0.5</v>
      </c>
      <c r="K2" s="6">
        <v>0.5</v>
      </c>
      <c r="L2" s="6">
        <v>0.5</v>
      </c>
      <c r="M2" s="6">
        <v>0.5</v>
      </c>
      <c r="N2" s="6">
        <v>0.5</v>
      </c>
      <c r="O2" s="6">
        <v>0.5</v>
      </c>
      <c r="P2" s="6">
        <v>0.5</v>
      </c>
      <c r="Q2" s="6">
        <v>0.5</v>
      </c>
      <c r="R2" s="6">
        <v>0.5</v>
      </c>
      <c r="S2" s="6">
        <v>0.5</v>
      </c>
      <c r="T2" s="6">
        <v>0.5</v>
      </c>
      <c r="U2" s="6">
        <v>0.5</v>
      </c>
    </row>
    <row r="3" spans="1:21" x14ac:dyDescent="0.3">
      <c r="A3" s="5">
        <v>1.125</v>
      </c>
      <c r="B3" s="5">
        <v>1.0708115183246074</v>
      </c>
      <c r="C3" s="5">
        <v>1.0178010471204189</v>
      </c>
      <c r="D3" s="5">
        <v>0.96361256544502616</v>
      </c>
      <c r="E3" s="5">
        <v>0.91060209424083782</v>
      </c>
      <c r="F3" s="5">
        <v>0.85641361256544501</v>
      </c>
      <c r="G3" s="5">
        <v>0.80340314136125668</v>
      </c>
      <c r="H3" s="5">
        <v>0.79044502617801049</v>
      </c>
      <c r="I3" s="5">
        <v>0.77748691099476441</v>
      </c>
      <c r="J3" s="5">
        <v>0.76570680628272259</v>
      </c>
      <c r="K3" s="5">
        <v>0.75274869109947651</v>
      </c>
      <c r="L3" s="5">
        <v>0.73979057591623032</v>
      </c>
      <c r="M3" s="5">
        <v>0.72801047120418849</v>
      </c>
      <c r="N3" s="5">
        <v>0.71505235602094241</v>
      </c>
      <c r="O3" s="5">
        <v>0.70327225130890048</v>
      </c>
      <c r="P3" s="5">
        <v>0.6903141361256544</v>
      </c>
      <c r="Q3" s="5">
        <v>0.67735602094240843</v>
      </c>
      <c r="R3" s="5">
        <v>0.66557591623036649</v>
      </c>
      <c r="S3" s="5">
        <v>0.65261780104712042</v>
      </c>
      <c r="T3" s="5">
        <v>0.63965968586387445</v>
      </c>
      <c r="U3" s="5">
        <v>0.62787958115183251</v>
      </c>
    </row>
    <row r="4" spans="1:21" x14ac:dyDescent="0.3">
      <c r="A4" s="5">
        <v>1.6</v>
      </c>
      <c r="B4" s="5">
        <v>1.5871097683786506</v>
      </c>
      <c r="C4" s="5">
        <v>1.5758308157099699</v>
      </c>
      <c r="D4" s="5">
        <v>1.5645518630412889</v>
      </c>
      <c r="E4" s="5">
        <v>1.5516616314199396</v>
      </c>
      <c r="F4" s="5">
        <v>1.5403826787512589</v>
      </c>
      <c r="G4" s="5">
        <v>1.5291037260825782</v>
      </c>
      <c r="H4" s="5">
        <v>1.5242698892245721</v>
      </c>
      <c r="I4" s="5">
        <v>1.519436052366566</v>
      </c>
      <c r="J4" s="5">
        <v>1.5146022155085599</v>
      </c>
      <c r="K4" s="5">
        <v>1.509768378650554</v>
      </c>
      <c r="L4" s="5">
        <v>1.5049345417925482</v>
      </c>
      <c r="M4" s="5">
        <v>1.5017119838872106</v>
      </c>
      <c r="N4" s="5">
        <v>1.4968781470292045</v>
      </c>
      <c r="O4" s="5">
        <v>1.4920443101711987</v>
      </c>
      <c r="P4" s="5">
        <v>1.4872104733131923</v>
      </c>
      <c r="Q4" s="5">
        <v>1.4823766364551865</v>
      </c>
      <c r="R4" s="5">
        <v>1.4791540785498491</v>
      </c>
      <c r="S4" s="5">
        <v>1.4743202416918431</v>
      </c>
      <c r="T4" s="5">
        <v>1.469486404833837</v>
      </c>
      <c r="U4" s="5">
        <v>1.4646525679758309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29D1-54DC-4693-AE42-4A24F7C7DCE0}">
  <dimension ref="A1:M2"/>
  <sheetViews>
    <sheetView tabSelected="1" topLeftCell="D1" workbookViewId="0">
      <selection activeCell="M2" sqref="M2"/>
    </sheetView>
  </sheetViews>
  <sheetFormatPr defaultRowHeight="14.4" x14ac:dyDescent="0.3"/>
  <cols>
    <col min="1" max="1" width="7" bestFit="1" customWidth="1"/>
    <col min="2" max="2" width="7.77734375" bestFit="1" customWidth="1"/>
    <col min="3" max="3" width="26.5546875" bestFit="1" customWidth="1"/>
    <col min="4" max="4" width="26.77734375" bestFit="1" customWidth="1"/>
    <col min="5" max="5" width="31.109375" bestFit="1" customWidth="1"/>
    <col min="6" max="6" width="10.77734375" bestFit="1" customWidth="1"/>
    <col min="7" max="7" width="12" bestFit="1" customWidth="1"/>
    <col min="8" max="8" width="11.21875" bestFit="1" customWidth="1"/>
    <col min="9" max="9" width="14.33203125" bestFit="1" customWidth="1"/>
    <col min="10" max="10" width="10.77734375" bestFit="1" customWidth="1"/>
    <col min="11" max="11" width="16.44140625" bestFit="1" customWidth="1"/>
    <col min="12" max="12" width="18.77734375" bestFit="1" customWidth="1"/>
    <col min="13" max="13" width="20.5546875" bestFit="1" customWidth="1"/>
    <col min="14" max="14" width="16.44140625" bestFit="1" customWidth="1"/>
    <col min="15" max="15" width="18.77734375" bestFit="1" customWidth="1"/>
    <col min="16" max="17" width="20.5546875" bestFit="1" customWidth="1"/>
  </cols>
  <sheetData>
    <row r="1" spans="1:13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38</v>
      </c>
      <c r="L1" t="s">
        <v>44</v>
      </c>
      <c r="M1" t="s">
        <v>45</v>
      </c>
    </row>
    <row r="2" spans="1:13" x14ac:dyDescent="0.3">
      <c r="A2" t="s">
        <v>29</v>
      </c>
      <c r="B2">
        <v>0</v>
      </c>
      <c r="C2">
        <v>0.04</v>
      </c>
      <c r="D2">
        <v>0</v>
      </c>
      <c r="E2">
        <v>0</v>
      </c>
      <c r="F2">
        <v>10</v>
      </c>
      <c r="G2" s="1">
        <v>1</v>
      </c>
      <c r="H2" s="1">
        <v>0</v>
      </c>
      <c r="I2" s="4">
        <v>0.94599999999999995</v>
      </c>
      <c r="J2" s="4">
        <v>0.94599999999999995</v>
      </c>
      <c r="K2" s="1">
        <v>0.5</v>
      </c>
      <c r="L2" s="1">
        <v>0.3</v>
      </c>
      <c r="M2" s="1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9C18-F78F-4A2F-B4C1-8D6240FBF26A}">
  <dimension ref="A1:U2"/>
  <sheetViews>
    <sheetView workbookViewId="0">
      <selection activeCell="M22" sqref="M2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6.25E-2</v>
      </c>
      <c r="B2" s="6">
        <v>6.25E-2</v>
      </c>
      <c r="C2" s="6">
        <v>6.25E-2</v>
      </c>
      <c r="D2" s="6">
        <v>6.25E-2</v>
      </c>
      <c r="E2" s="6">
        <v>6.25E-2</v>
      </c>
      <c r="F2" s="6">
        <v>6.25E-2</v>
      </c>
      <c r="G2" s="6">
        <v>6.25E-2</v>
      </c>
      <c r="H2" s="6">
        <v>6.25E-2</v>
      </c>
      <c r="I2" s="6">
        <v>6.25E-2</v>
      </c>
      <c r="J2" s="6">
        <v>6.25E-2</v>
      </c>
      <c r="K2" s="6">
        <v>6.25E-2</v>
      </c>
      <c r="L2" s="6">
        <v>6.25E-2</v>
      </c>
      <c r="M2" s="6">
        <v>6.25E-2</v>
      </c>
      <c r="N2" s="6">
        <v>6.25E-2</v>
      </c>
      <c r="O2" s="6">
        <v>6.25E-2</v>
      </c>
      <c r="P2" s="6">
        <v>6.25E-2</v>
      </c>
      <c r="Q2" s="6">
        <v>6.25E-2</v>
      </c>
      <c r="R2" s="6">
        <v>6.25E-2</v>
      </c>
      <c r="S2" s="6">
        <v>6.25E-2</v>
      </c>
      <c r="T2" s="6">
        <v>6.25E-2</v>
      </c>
      <c r="U2" s="6">
        <v>6.25E-2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0133-E874-4B4F-A420-8BECD54B7074}">
  <dimension ref="A1:U2"/>
  <sheetViews>
    <sheetView workbookViewId="0">
      <selection activeCell="L12" sqref="L12"/>
    </sheetView>
  </sheetViews>
  <sheetFormatPr defaultRowHeight="14.4" x14ac:dyDescent="0.3"/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6">
        <v>0.374</v>
      </c>
      <c r="B2" s="6">
        <v>0.33512266112266115</v>
      </c>
      <c r="C2" s="6">
        <v>0.32307068607068606</v>
      </c>
      <c r="D2" s="6">
        <v>0.31062993762993768</v>
      </c>
      <c r="E2" s="6">
        <v>0.2985779625779626</v>
      </c>
      <c r="F2" s="6">
        <v>0.28652598752598751</v>
      </c>
      <c r="G2" s="6">
        <v>0.27408523908523907</v>
      </c>
      <c r="H2" s="6">
        <v>0.26980873180873183</v>
      </c>
      <c r="I2" s="6">
        <v>0.26592099792099794</v>
      </c>
      <c r="J2" s="6">
        <v>0.26164449064449069</v>
      </c>
      <c r="K2" s="6">
        <v>0.25736798336798339</v>
      </c>
      <c r="L2" s="6">
        <v>0.25309147609147614</v>
      </c>
      <c r="M2" s="6">
        <v>0.2492037422037422</v>
      </c>
      <c r="N2" s="6">
        <v>0.24492723492723492</v>
      </c>
      <c r="O2" s="6">
        <v>0.24065072765072767</v>
      </c>
      <c r="P2" s="6">
        <v>0.2363742203742204</v>
      </c>
      <c r="Q2" s="6">
        <v>0.23248648648648648</v>
      </c>
      <c r="R2" s="6">
        <v>0.22820997920997918</v>
      </c>
      <c r="S2" s="6">
        <v>0.22393347193347191</v>
      </c>
      <c r="T2" s="6">
        <v>0.22004573804573804</v>
      </c>
      <c r="U2" s="6">
        <v>0.2157692307692308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C17D-06FD-45C8-8296-9282A3F5F256}">
  <dimension ref="A1:D13"/>
  <sheetViews>
    <sheetView workbookViewId="0">
      <selection activeCell="B17" sqref="B17"/>
    </sheetView>
  </sheetViews>
  <sheetFormatPr defaultRowHeight="14.4" x14ac:dyDescent="0.3"/>
  <cols>
    <col min="1" max="1" width="22.5546875" bestFit="1" customWidth="1"/>
    <col min="2" max="2" width="21.109375" bestFit="1" customWidth="1"/>
    <col min="3" max="3" width="30.33203125" bestFit="1" customWidth="1"/>
    <col min="4" max="4" width="22.5546875" bestFit="1" customWidth="1"/>
    <col min="9" max="9" width="22.5546875" bestFit="1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>
        <v>20</v>
      </c>
      <c r="B2">
        <v>1</v>
      </c>
      <c r="C2">
        <v>31</v>
      </c>
      <c r="D2">
        <v>24</v>
      </c>
    </row>
    <row r="3" spans="1:4" x14ac:dyDescent="0.3">
      <c r="B3">
        <v>2</v>
      </c>
      <c r="C3">
        <v>28</v>
      </c>
    </row>
    <row r="4" spans="1:4" x14ac:dyDescent="0.3">
      <c r="B4">
        <v>3</v>
      </c>
      <c r="C4">
        <v>31</v>
      </c>
    </row>
    <row r="5" spans="1:4" x14ac:dyDescent="0.3">
      <c r="B5">
        <v>4</v>
      </c>
      <c r="C5">
        <v>30</v>
      </c>
    </row>
    <row r="6" spans="1:4" x14ac:dyDescent="0.3">
      <c r="B6">
        <v>5</v>
      </c>
      <c r="C6">
        <v>31</v>
      </c>
    </row>
    <row r="7" spans="1:4" x14ac:dyDescent="0.3">
      <c r="B7">
        <v>6</v>
      </c>
      <c r="C7">
        <v>30</v>
      </c>
    </row>
    <row r="8" spans="1:4" x14ac:dyDescent="0.3">
      <c r="B8">
        <v>7</v>
      </c>
      <c r="C8">
        <v>31</v>
      </c>
    </row>
    <row r="9" spans="1:4" x14ac:dyDescent="0.3">
      <c r="B9">
        <v>8</v>
      </c>
      <c r="C9">
        <v>31</v>
      </c>
    </row>
    <row r="10" spans="1:4" x14ac:dyDescent="0.3">
      <c r="B10">
        <v>9</v>
      </c>
      <c r="C10">
        <v>30</v>
      </c>
    </row>
    <row r="11" spans="1:4" x14ac:dyDescent="0.3">
      <c r="B11">
        <v>10</v>
      </c>
      <c r="C11">
        <v>31</v>
      </c>
    </row>
    <row r="12" spans="1:4" x14ac:dyDescent="0.3">
      <c r="B12">
        <v>11</v>
      </c>
      <c r="C12">
        <v>30</v>
      </c>
    </row>
    <row r="13" spans="1:4" x14ac:dyDescent="0.3">
      <c r="B13">
        <v>12</v>
      </c>
      <c r="C13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C88D-467F-4304-A55D-385DC40380CE}">
  <dimension ref="A1:X13"/>
  <sheetViews>
    <sheetView topLeftCell="K1" workbookViewId="0">
      <selection activeCell="T25" sqref="T2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0.6325180423612724</v>
      </c>
      <c r="B2">
        <v>0.59048693804843566</v>
      </c>
      <c r="C2">
        <v>0.53646254149113493</v>
      </c>
      <c r="D2">
        <v>0.50493596799399498</v>
      </c>
      <c r="E2">
        <v>0.50297572329476736</v>
      </c>
      <c r="F2">
        <v>0.5701729940443897</v>
      </c>
      <c r="G2">
        <v>0.63752607056291966</v>
      </c>
      <c r="H2">
        <v>0.72704783519553073</v>
      </c>
      <c r="I2">
        <v>0.7384143986167514</v>
      </c>
      <c r="J2">
        <v>0.75658658602071083</v>
      </c>
      <c r="K2">
        <v>0.89753718768811852</v>
      </c>
      <c r="L2">
        <v>0.89035298140654173</v>
      </c>
      <c r="M2">
        <v>0.87439051908060239</v>
      </c>
      <c r="N2">
        <v>0.8603265374202016</v>
      </c>
      <c r="O2">
        <v>0.83137452026655212</v>
      </c>
      <c r="P2">
        <v>0.82144623519627291</v>
      </c>
      <c r="Q2">
        <v>0.78000552069073958</v>
      </c>
      <c r="R2">
        <v>0.8095838311345942</v>
      </c>
      <c r="S2">
        <v>0.92688723366930059</v>
      </c>
      <c r="T2">
        <v>0.96812500000000012</v>
      </c>
      <c r="U2">
        <v>0.92565966281308498</v>
      </c>
      <c r="V2">
        <v>0.85408752365510321</v>
      </c>
      <c r="W2">
        <v>0.84195791784219087</v>
      </c>
      <c r="X2">
        <v>0.77782300516309566</v>
      </c>
    </row>
    <row r="3" spans="1:24" x14ac:dyDescent="0.3">
      <c r="A3">
        <v>0.62038604852347989</v>
      </c>
      <c r="B3">
        <v>0.58806027939892158</v>
      </c>
      <c r="C3">
        <v>0.543036837342742</v>
      </c>
      <c r="D3">
        <v>0.50905369250362997</v>
      </c>
      <c r="E3">
        <v>0.51003149496423295</v>
      </c>
      <c r="F3">
        <v>0.57627110093256495</v>
      </c>
      <c r="G3">
        <v>0.66273580094546036</v>
      </c>
      <c r="H3">
        <v>0.7395166016627468</v>
      </c>
      <c r="I3">
        <v>0.75319363417097862</v>
      </c>
      <c r="J3">
        <v>0.76392944648892047</v>
      </c>
      <c r="K3">
        <v>0.90347080166378801</v>
      </c>
      <c r="L3">
        <v>0.8958945974733874</v>
      </c>
      <c r="M3">
        <v>0.88502048370992525</v>
      </c>
      <c r="N3">
        <v>0.85884729646865376</v>
      </c>
      <c r="O3">
        <v>0.83280841905969905</v>
      </c>
      <c r="P3">
        <v>0.82088302214505848</v>
      </c>
      <c r="Q3">
        <v>0.77894066673757822</v>
      </c>
      <c r="R3">
        <v>0.80141996056853115</v>
      </c>
      <c r="S3">
        <v>0.928082446091827</v>
      </c>
      <c r="T3">
        <v>0.96500000000000008</v>
      </c>
      <c r="U3">
        <v>0.91962930670355336</v>
      </c>
      <c r="V3">
        <v>0.85719227010593135</v>
      </c>
      <c r="W3">
        <v>0.83782488458490112</v>
      </c>
      <c r="X3">
        <v>0.75898398925822796</v>
      </c>
    </row>
    <row r="4" spans="1:24" x14ac:dyDescent="0.3">
      <c r="A4">
        <v>0.5442853599045997</v>
      </c>
      <c r="B4">
        <v>0.49989168179990856</v>
      </c>
      <c r="C4">
        <v>0.46730094913222886</v>
      </c>
      <c r="D4">
        <v>0.43956709140353889</v>
      </c>
      <c r="E4">
        <v>0.43770983535220986</v>
      </c>
      <c r="F4">
        <v>0.49671852470955091</v>
      </c>
      <c r="G4">
        <v>0.55853558203095865</v>
      </c>
      <c r="H4">
        <v>0.64896960707939166</v>
      </c>
      <c r="I4">
        <v>0.66178132537261125</v>
      </c>
      <c r="J4">
        <v>0.68614951708492211</v>
      </c>
      <c r="K4">
        <v>0.81946331958720364</v>
      </c>
      <c r="L4">
        <v>0.80938381331874076</v>
      </c>
      <c r="M4">
        <v>0.80028447995046437</v>
      </c>
      <c r="N4">
        <v>0.78015167784631068</v>
      </c>
      <c r="O4">
        <v>0.75853246157469145</v>
      </c>
      <c r="P4">
        <v>0.74428604717989355</v>
      </c>
      <c r="Q4">
        <v>0.70386846303969808</v>
      </c>
      <c r="R4">
        <v>0.72359106117206251</v>
      </c>
      <c r="S4">
        <v>0.84292356098681387</v>
      </c>
      <c r="T4">
        <v>0.89000000000000012</v>
      </c>
      <c r="U4">
        <v>0.85419994291513657</v>
      </c>
      <c r="V4">
        <v>0.77759786109379014</v>
      </c>
      <c r="W4">
        <v>0.75132640284304908</v>
      </c>
      <c r="X4">
        <v>0.67363753841647911</v>
      </c>
    </row>
    <row r="5" spans="1:24" x14ac:dyDescent="0.3">
      <c r="A5">
        <v>0.50706219699319088</v>
      </c>
      <c r="B5">
        <v>0.46564883196787604</v>
      </c>
      <c r="C5">
        <v>0.43337758253793651</v>
      </c>
      <c r="D5">
        <v>0.41177245096350257</v>
      </c>
      <c r="E5">
        <v>0.40243097700488151</v>
      </c>
      <c r="F5">
        <v>0.45458614984579437</v>
      </c>
      <c r="G5">
        <v>0.50643547257370769</v>
      </c>
      <c r="H5">
        <v>0.57979764072554985</v>
      </c>
      <c r="I5">
        <v>0.60813817410171311</v>
      </c>
      <c r="J5">
        <v>0.63420557821721701</v>
      </c>
      <c r="K5">
        <v>0.76075177077531553</v>
      </c>
      <c r="L5">
        <v>0.75304404997247609</v>
      </c>
      <c r="M5">
        <v>0.7468309435287257</v>
      </c>
      <c r="N5">
        <v>0.7286740927324471</v>
      </c>
      <c r="O5">
        <v>0.70461786695236939</v>
      </c>
      <c r="P5">
        <v>0.6921888399425572</v>
      </c>
      <c r="Q5">
        <v>0.64982712491675609</v>
      </c>
      <c r="R5">
        <v>0.65310964528505078</v>
      </c>
      <c r="S5">
        <v>0.72997598705805966</v>
      </c>
      <c r="T5">
        <v>0.80812499999999998</v>
      </c>
      <c r="U5">
        <v>0.78967513254314958</v>
      </c>
      <c r="V5">
        <v>0.70929343917556975</v>
      </c>
      <c r="W5">
        <v>0.68755960401629124</v>
      </c>
      <c r="X5">
        <v>0.61255345654312043</v>
      </c>
    </row>
    <row r="6" spans="1:24" x14ac:dyDescent="0.3">
      <c r="A6">
        <v>0.55062708395617299</v>
      </c>
      <c r="B6">
        <v>0.50447537036010193</v>
      </c>
      <c r="C6">
        <v>0.4591488222762361</v>
      </c>
      <c r="D6">
        <v>0.43776558693057366</v>
      </c>
      <c r="E6">
        <v>0.42939410445605397</v>
      </c>
      <c r="F6">
        <v>0.47315765718705549</v>
      </c>
      <c r="G6">
        <v>0.52100109457250909</v>
      </c>
      <c r="H6">
        <v>0.60681330140451806</v>
      </c>
      <c r="I6">
        <v>0.62811751105464964</v>
      </c>
      <c r="J6">
        <v>0.66548072465588759</v>
      </c>
      <c r="K6">
        <v>0.81821413769758899</v>
      </c>
      <c r="L6">
        <v>0.81030741599654832</v>
      </c>
      <c r="M6">
        <v>0.80119561977583498</v>
      </c>
      <c r="N6">
        <v>0.78074337422692985</v>
      </c>
      <c r="O6">
        <v>0.76197381867824399</v>
      </c>
      <c r="P6">
        <v>0.74625729285914411</v>
      </c>
      <c r="Q6">
        <v>0.70227118210995598</v>
      </c>
      <c r="R6">
        <v>0.71188951336070538</v>
      </c>
      <c r="S6">
        <v>0.79391985166322743</v>
      </c>
      <c r="T6">
        <v>0.84749999999999992</v>
      </c>
      <c r="U6">
        <v>0.83218914311534653</v>
      </c>
      <c r="V6">
        <v>0.75925163206616897</v>
      </c>
      <c r="W6">
        <v>0.7259377699768399</v>
      </c>
      <c r="X6">
        <v>0.63253423098767692</v>
      </c>
    </row>
    <row r="7" spans="1:24" x14ac:dyDescent="0.3">
      <c r="A7">
        <v>0.66670820681323295</v>
      </c>
      <c r="B7">
        <v>0.63174013509017568</v>
      </c>
      <c r="C7">
        <v>0.58826799280179853</v>
      </c>
      <c r="D7">
        <v>0.55537809323702403</v>
      </c>
      <c r="E7">
        <v>0.53119880997263003</v>
      </c>
      <c r="F7">
        <v>0.56490644718642014</v>
      </c>
      <c r="G7">
        <v>0.57898347445235276</v>
      </c>
      <c r="H7">
        <v>0.66945400913267528</v>
      </c>
      <c r="I7">
        <v>0.68969765919726234</v>
      </c>
      <c r="J7">
        <v>0.72123207265525702</v>
      </c>
      <c r="K7">
        <v>0.87879945934389903</v>
      </c>
      <c r="L7">
        <v>0.87557533856161984</v>
      </c>
      <c r="M7">
        <v>0.87044224650399671</v>
      </c>
      <c r="N7">
        <v>0.84967600256905729</v>
      </c>
      <c r="O7">
        <v>0.82850672268025838</v>
      </c>
      <c r="P7">
        <v>0.81243482637684172</v>
      </c>
      <c r="Q7">
        <v>0.76988940813570605</v>
      </c>
      <c r="R7">
        <v>0.78645286453074881</v>
      </c>
      <c r="S7">
        <v>0.87668831192318764</v>
      </c>
      <c r="T7">
        <v>0.91687500000000011</v>
      </c>
      <c r="U7">
        <v>0.89158815079423193</v>
      </c>
      <c r="V7">
        <v>0.83094305011256553</v>
      </c>
      <c r="W7">
        <v>0.83605358461749113</v>
      </c>
      <c r="X7">
        <v>0.73643425809937124</v>
      </c>
    </row>
    <row r="8" spans="1:24" x14ac:dyDescent="0.3">
      <c r="A8">
        <v>0.7406030783706965</v>
      </c>
      <c r="B8">
        <v>0.7050791520532691</v>
      </c>
      <c r="C8">
        <v>0.66137416267166871</v>
      </c>
      <c r="D8">
        <v>0.63387221670194172</v>
      </c>
      <c r="E8">
        <v>0.62115989875831745</v>
      </c>
      <c r="F8">
        <v>0.66801989093192971</v>
      </c>
      <c r="G8">
        <v>0.68206326090540836</v>
      </c>
      <c r="H8">
        <v>0.76682913773379169</v>
      </c>
      <c r="I8">
        <v>0.77536248750231906</v>
      </c>
      <c r="J8">
        <v>0.79194109938616475</v>
      </c>
      <c r="K8">
        <v>0.95062741799674066</v>
      </c>
      <c r="L8">
        <v>0.94700061231207555</v>
      </c>
      <c r="M8">
        <v>0.94181486615802279</v>
      </c>
      <c r="N8">
        <v>0.9129875152953032</v>
      </c>
      <c r="O8">
        <v>0.89389250764775552</v>
      </c>
      <c r="P8">
        <v>0.88114681862500455</v>
      </c>
      <c r="Q8">
        <v>0.8345792857902623</v>
      </c>
      <c r="R8">
        <v>0.85067531298377852</v>
      </c>
      <c r="S8">
        <v>0.93166808335940654</v>
      </c>
      <c r="T8">
        <v>0.98406249999999995</v>
      </c>
      <c r="U8">
        <v>0.95792206799907842</v>
      </c>
      <c r="V8">
        <v>0.89727172428934987</v>
      </c>
      <c r="W8">
        <v>0.90542950000771383</v>
      </c>
      <c r="X8">
        <v>0.86602385235406698</v>
      </c>
    </row>
    <row r="9" spans="1:24" x14ac:dyDescent="0.3">
      <c r="A9">
        <v>0.74584189389156141</v>
      </c>
      <c r="B9">
        <v>0.70885395439695775</v>
      </c>
      <c r="C9">
        <v>0.66584468385076168</v>
      </c>
      <c r="D9">
        <v>0.63567372117490706</v>
      </c>
      <c r="E9">
        <v>0.62241985798500765</v>
      </c>
      <c r="F9">
        <v>0.67578111788051631</v>
      </c>
      <c r="G9">
        <v>0.68598477452047013</v>
      </c>
      <c r="H9">
        <v>0.76861039008625121</v>
      </c>
      <c r="I9">
        <v>0.77618355614422074</v>
      </c>
      <c r="J9">
        <v>0.79520459292759116</v>
      </c>
      <c r="K9">
        <v>0.95812250933442844</v>
      </c>
      <c r="L9">
        <v>0.94269046648230659</v>
      </c>
      <c r="M9">
        <v>0.9436371458087639</v>
      </c>
      <c r="N9">
        <v>0.92215880919489968</v>
      </c>
      <c r="O9">
        <v>0.90020166233760157</v>
      </c>
      <c r="P9">
        <v>0.88480770345789839</v>
      </c>
      <c r="Q9">
        <v>0.83617656672000451</v>
      </c>
      <c r="R9">
        <v>0.84985892592717227</v>
      </c>
      <c r="S9">
        <v>0.94601063242972461</v>
      </c>
      <c r="T9">
        <v>1</v>
      </c>
      <c r="U9">
        <v>0.97209340485647755</v>
      </c>
      <c r="V9">
        <v>0.90658596364183452</v>
      </c>
      <c r="W9">
        <v>0.91605729981217343</v>
      </c>
      <c r="X9">
        <v>0.87230352432235614</v>
      </c>
    </row>
    <row r="10" spans="1:24" x14ac:dyDescent="0.3">
      <c r="A10">
        <v>0.69042074022346378</v>
      </c>
      <c r="B10">
        <v>0.65196229050279331</v>
      </c>
      <c r="C10">
        <v>0.61167248603351954</v>
      </c>
      <c r="D10">
        <v>0.58420216480446918</v>
      </c>
      <c r="E10">
        <v>0.57504539106145247</v>
      </c>
      <c r="F10">
        <v>0.63364874301675977</v>
      </c>
      <c r="G10">
        <v>0.65013093575419001</v>
      </c>
      <c r="H10">
        <v>0.72704783519553073</v>
      </c>
      <c r="I10">
        <v>0.74169867318435756</v>
      </c>
      <c r="J10">
        <v>0.77100034916201121</v>
      </c>
      <c r="K10">
        <v>0.93032821229050278</v>
      </c>
      <c r="L10">
        <v>0.92483414804469277</v>
      </c>
      <c r="M10">
        <v>0.91934008379888266</v>
      </c>
      <c r="N10">
        <v>0.89553247206703923</v>
      </c>
      <c r="O10">
        <v>0.85890537709497194</v>
      </c>
      <c r="P10">
        <v>0.84791724860335205</v>
      </c>
      <c r="Q10">
        <v>0.80396473463687157</v>
      </c>
      <c r="R10">
        <v>0.81312150837988828</v>
      </c>
      <c r="S10">
        <v>0.92300279329608936</v>
      </c>
      <c r="T10">
        <v>0.98343750000000008</v>
      </c>
      <c r="U10">
        <v>0.94314769553072619</v>
      </c>
      <c r="V10">
        <v>0.86989350558659218</v>
      </c>
      <c r="W10">
        <v>0.85524266759776546</v>
      </c>
      <c r="X10">
        <v>0.80579608938547487</v>
      </c>
    </row>
    <row r="11" spans="1:24" x14ac:dyDescent="0.3">
      <c r="A11">
        <v>0.53187763893412998</v>
      </c>
      <c r="B11">
        <v>0.49395984954554073</v>
      </c>
      <c r="C11">
        <v>0.46204151245094316</v>
      </c>
      <c r="D11">
        <v>0.44214066922206086</v>
      </c>
      <c r="E11">
        <v>0.43619788428018152</v>
      </c>
      <c r="F11">
        <v>0.49283791123525761</v>
      </c>
      <c r="G11">
        <v>0.54032855453245698</v>
      </c>
      <c r="H11">
        <v>0.61631331395096844</v>
      </c>
      <c r="I11">
        <v>0.63413868109526073</v>
      </c>
      <c r="J11">
        <v>0.66412093568029329</v>
      </c>
      <c r="K11">
        <v>0.81228052372191939</v>
      </c>
      <c r="L11">
        <v>0.80969168087801002</v>
      </c>
      <c r="M11">
        <v>0.79937334012509387</v>
      </c>
      <c r="N11">
        <v>0.77985582965600109</v>
      </c>
      <c r="O11">
        <v>0.75795890205743277</v>
      </c>
      <c r="P11">
        <v>0.74400444065428639</v>
      </c>
      <c r="Q11">
        <v>0.70440089001627892</v>
      </c>
      <c r="R11">
        <v>0.7214140290211124</v>
      </c>
      <c r="S11">
        <v>0.84113074235302421</v>
      </c>
      <c r="T11">
        <v>0.87937500000000013</v>
      </c>
      <c r="U11">
        <v>0.82615878700581524</v>
      </c>
      <c r="V11">
        <v>0.74062315336119988</v>
      </c>
      <c r="W11">
        <v>0.70615825367409568</v>
      </c>
      <c r="X11">
        <v>0.63624494624166605</v>
      </c>
    </row>
    <row r="12" spans="1:24" x14ac:dyDescent="0.3">
      <c r="A12">
        <v>0.48500402637902268</v>
      </c>
      <c r="B12">
        <v>0.44219113168923951</v>
      </c>
      <c r="C12">
        <v>0.41233983581279388</v>
      </c>
      <c r="D12">
        <v>0.39298533288829274</v>
      </c>
      <c r="E12">
        <v>0.39235130319135908</v>
      </c>
      <c r="F12">
        <v>0.45015116301803054</v>
      </c>
      <c r="G12">
        <v>0.51848012153425493</v>
      </c>
      <c r="H12">
        <v>0.60146954434713973</v>
      </c>
      <c r="I12">
        <v>0.61087506957471804</v>
      </c>
      <c r="J12">
        <v>0.64209235427566436</v>
      </c>
      <c r="K12">
        <v>0.76043947530291178</v>
      </c>
      <c r="L12">
        <v>0.76135647407274465</v>
      </c>
      <c r="M12">
        <v>0.74926064972971373</v>
      </c>
      <c r="N12">
        <v>0.72749069997120897</v>
      </c>
      <c r="O12">
        <v>0.70977990260769797</v>
      </c>
      <c r="P12">
        <v>0.70795880537656164</v>
      </c>
      <c r="Q12">
        <v>0.68044167607014694</v>
      </c>
      <c r="R12">
        <v>0.71869273883242468</v>
      </c>
      <c r="S12">
        <v>0.80079232309275483</v>
      </c>
      <c r="T12">
        <v>0.8309375</v>
      </c>
      <c r="U12">
        <v>0.78665995448838377</v>
      </c>
      <c r="V12">
        <v>0.70167269788717324</v>
      </c>
      <c r="W12">
        <v>0.65951402119896729</v>
      </c>
      <c r="X12">
        <v>0.58543669122550801</v>
      </c>
    </row>
    <row r="13" spans="1:24" x14ac:dyDescent="0.3">
      <c r="A13">
        <v>0.53932227151641177</v>
      </c>
      <c r="B13">
        <v>0.48452284368631909</v>
      </c>
      <c r="C13">
        <v>0.44941886441585766</v>
      </c>
      <c r="D13">
        <v>0.42695656009278166</v>
      </c>
      <c r="E13">
        <v>0.42662219415733527</v>
      </c>
      <c r="F13">
        <v>0.48590824431687657</v>
      </c>
      <c r="G13">
        <v>0.555734500877343</v>
      </c>
      <c r="H13">
        <v>0.64481335159031961</v>
      </c>
      <c r="I13">
        <v>0.65822336125770475</v>
      </c>
      <c r="J13">
        <v>0.6831579813386145</v>
      </c>
      <c r="K13">
        <v>0.81040675088749747</v>
      </c>
      <c r="L13">
        <v>0.81030741599654832</v>
      </c>
      <c r="M13">
        <v>0.80453646580219362</v>
      </c>
      <c r="N13">
        <v>0.78251846336878705</v>
      </c>
      <c r="O13">
        <v>0.74849517002266341</v>
      </c>
      <c r="P13">
        <v>0.74513086675671514</v>
      </c>
      <c r="Q13">
        <v>0.72197098024344231</v>
      </c>
      <c r="R13">
        <v>0.75488589834197128</v>
      </c>
      <c r="S13">
        <v>0.8590589286909216</v>
      </c>
      <c r="T13">
        <v>0.90281250000000002</v>
      </c>
      <c r="U13">
        <v>0.86203940585752759</v>
      </c>
      <c r="V13">
        <v>0.7869121004462748</v>
      </c>
      <c r="W13">
        <v>0.75280248614922396</v>
      </c>
      <c r="X13">
        <v>0.68077352928953516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3FCF-37AF-41E0-AA59-4128F647FD76}">
  <dimension ref="A1:T2"/>
  <sheetViews>
    <sheetView workbookViewId="0">
      <selection activeCell="G5" sqref="G5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12.753</v>
      </c>
      <c r="B2">
        <f>A2*1.05</f>
        <v>13.390650000000001</v>
      </c>
      <c r="C2">
        <f>B2*1.05</f>
        <v>14.060182500000002</v>
      </c>
      <c r="D2">
        <f>C2*1.05</f>
        <v>14.763191625000003</v>
      </c>
      <c r="E2">
        <f t="shared" ref="E2:T2" si="0">D2*1.05</f>
        <v>15.501351206250003</v>
      </c>
      <c r="F2">
        <f t="shared" si="0"/>
        <v>16.276418766562504</v>
      </c>
      <c r="G2">
        <f t="shared" si="0"/>
        <v>17.090239704890628</v>
      </c>
      <c r="H2">
        <f t="shared" si="0"/>
        <v>17.94475169013516</v>
      </c>
      <c r="I2">
        <f t="shared" si="0"/>
        <v>18.841989274641918</v>
      </c>
      <c r="J2">
        <f t="shared" si="0"/>
        <v>19.784088738374013</v>
      </c>
      <c r="K2">
        <f t="shared" si="0"/>
        <v>20.773293175292714</v>
      </c>
      <c r="L2">
        <f t="shared" si="0"/>
        <v>21.811957834057353</v>
      </c>
      <c r="M2">
        <f t="shared" si="0"/>
        <v>22.902555725760219</v>
      </c>
      <c r="N2">
        <f t="shared" si="0"/>
        <v>24.047683512048231</v>
      </c>
      <c r="O2">
        <f t="shared" si="0"/>
        <v>25.250067687650642</v>
      </c>
      <c r="P2">
        <f t="shared" si="0"/>
        <v>26.512571072033175</v>
      </c>
      <c r="Q2">
        <f t="shared" si="0"/>
        <v>27.838199625634836</v>
      </c>
      <c r="R2">
        <f t="shared" si="0"/>
        <v>29.230109606916578</v>
      </c>
      <c r="S2">
        <f t="shared" si="0"/>
        <v>30.691615087262409</v>
      </c>
      <c r="T2">
        <f t="shared" si="0"/>
        <v>32.226195841625533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8D542-834E-4D59-83D3-1883D76783BC}">
  <dimension ref="A1:T2"/>
  <sheetViews>
    <sheetView workbookViewId="0">
      <selection activeCell="E19" sqref="E19"/>
    </sheetView>
  </sheetViews>
  <sheetFormatPr defaultRowHeight="14.4" x14ac:dyDescent="0.3"/>
  <sheetData>
    <row r="1" spans="1:2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3">
      <c r="A2">
        <v>0.80323299888517286</v>
      </c>
      <c r="B2">
        <v>0.7998018797075267</v>
      </c>
      <c r="C2">
        <v>0.79636610600256064</v>
      </c>
      <c r="D2">
        <v>0.79292564496168683</v>
      </c>
      <c r="E2">
        <v>0.78948046335616628</v>
      </c>
      <c r="F2">
        <v>0.78603052752928926</v>
      </c>
      <c r="G2">
        <v>0.78257580338835164</v>
      </c>
      <c r="H2">
        <v>0.77911625639644011</v>
      </c>
      <c r="I2">
        <v>0.77565185156400585</v>
      </c>
      <c r="J2">
        <v>0.77218255344024267</v>
      </c>
      <c r="K2">
        <v>0.76870832610423512</v>
      </c>
      <c r="L2">
        <v>0.76522913315588315</v>
      </c>
      <c r="M2">
        <v>0.76174493770661011</v>
      </c>
      <c r="N2">
        <v>0.75825570236981887</v>
      </c>
      <c r="O2">
        <v>0.75476138925110314</v>
      </c>
      <c r="P2">
        <v>0.75126195993821976</v>
      </c>
      <c r="Q2">
        <v>0.74775737549078514</v>
      </c>
      <c r="R2">
        <v>0.74424759642970284</v>
      </c>
      <c r="S2">
        <v>0.74073258272632581</v>
      </c>
      <c r="T2">
        <v>0.73721229379131648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B7DA-3318-4A45-BA62-1411461B5E7C}">
  <dimension ref="A1:X13"/>
  <sheetViews>
    <sheetView zoomScale="80" zoomScaleNormal="80" workbookViewId="0">
      <selection activeCell="L15" sqref="L15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2.9032258064516131E-3</v>
      </c>
      <c r="H2">
        <v>0.14967741935483872</v>
      </c>
      <c r="I2">
        <v>0.31487096774193557</v>
      </c>
      <c r="J2">
        <v>0.45399999999999996</v>
      </c>
      <c r="K2">
        <v>0.54770967741935495</v>
      </c>
      <c r="L2">
        <v>0.58545161290322545</v>
      </c>
      <c r="M2">
        <v>0.56664516129032261</v>
      </c>
      <c r="N2">
        <v>0.49851612903225812</v>
      </c>
      <c r="O2">
        <v>0.36496774193548387</v>
      </c>
      <c r="P2">
        <v>0.18670967741935487</v>
      </c>
      <c r="Q2">
        <v>1.983870967741936E-2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2.7857142857142858E-2</v>
      </c>
      <c r="H3">
        <v>0.18967857142857139</v>
      </c>
      <c r="I3">
        <v>0.36107142857142854</v>
      </c>
      <c r="J3">
        <v>0.49892857142857144</v>
      </c>
      <c r="K3">
        <v>0.58985714285714275</v>
      </c>
      <c r="L3">
        <v>0.62960714285714281</v>
      </c>
      <c r="M3">
        <v>0.61367857142857152</v>
      </c>
      <c r="N3">
        <v>0.53982142857142856</v>
      </c>
      <c r="O3">
        <v>0.39842857142857147</v>
      </c>
      <c r="P3">
        <v>0.23674999999999999</v>
      </c>
      <c r="Q3">
        <v>5.8214285714285718E-2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0</v>
      </c>
      <c r="B4">
        <v>0</v>
      </c>
      <c r="C4">
        <v>0</v>
      </c>
      <c r="D4">
        <v>0</v>
      </c>
      <c r="E4">
        <v>0</v>
      </c>
      <c r="F4">
        <v>4.8387096774193548E-4</v>
      </c>
      <c r="G4">
        <v>7.019354838709678E-2</v>
      </c>
      <c r="H4">
        <v>0.22835483870967743</v>
      </c>
      <c r="I4">
        <v>0.38935483870967746</v>
      </c>
      <c r="J4">
        <v>0.53958064516129034</v>
      </c>
      <c r="K4">
        <v>0.63583870967741929</v>
      </c>
      <c r="L4">
        <v>0.68654838709677402</v>
      </c>
      <c r="M4">
        <v>0.66935483870967749</v>
      </c>
      <c r="N4">
        <v>0.58296774193548395</v>
      </c>
      <c r="O4">
        <v>0.4584838709677419</v>
      </c>
      <c r="P4">
        <v>0.31035483870967739</v>
      </c>
      <c r="Q4">
        <v>0.12790322580645161</v>
      </c>
      <c r="R4">
        <v>5.7096774193548397E-3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</v>
      </c>
      <c r="B5">
        <v>0</v>
      </c>
      <c r="C5">
        <v>0</v>
      </c>
      <c r="D5">
        <v>0</v>
      </c>
      <c r="E5">
        <v>0</v>
      </c>
      <c r="F5">
        <v>1.176666666666667E-2</v>
      </c>
      <c r="G5">
        <v>0.13870000000000002</v>
      </c>
      <c r="H5">
        <v>0.32946666666666663</v>
      </c>
      <c r="I5">
        <v>0.5024333333333334</v>
      </c>
      <c r="J5">
        <v>0.62799999999999989</v>
      </c>
      <c r="K5">
        <v>0.70326666666666671</v>
      </c>
      <c r="L5">
        <v>0.73316666666666663</v>
      </c>
      <c r="M5">
        <v>0.71833333333333327</v>
      </c>
      <c r="N5">
        <v>0.64553333333333307</v>
      </c>
      <c r="O5">
        <v>0.52470000000000006</v>
      </c>
      <c r="P5">
        <v>0.36633333333333334</v>
      </c>
      <c r="Q5">
        <v>0.18350000000000002</v>
      </c>
      <c r="R5">
        <v>2.9533333333333345E-2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</v>
      </c>
      <c r="B6">
        <v>0</v>
      </c>
      <c r="C6">
        <v>0</v>
      </c>
      <c r="D6">
        <v>0</v>
      </c>
      <c r="E6">
        <v>0</v>
      </c>
      <c r="F6">
        <v>3.3290322580645175E-2</v>
      </c>
      <c r="G6">
        <v>0.17532258064516124</v>
      </c>
      <c r="H6">
        <v>0.36141935483870963</v>
      </c>
      <c r="I6">
        <v>0.52732258064516135</v>
      </c>
      <c r="J6">
        <v>0.64919354838709653</v>
      </c>
      <c r="K6">
        <v>0.72348387096774203</v>
      </c>
      <c r="L6">
        <v>0.75006451612903224</v>
      </c>
      <c r="M6">
        <v>0.72570967741935466</v>
      </c>
      <c r="N6">
        <v>0.66106451612903228</v>
      </c>
      <c r="O6">
        <v>0.54229032258064525</v>
      </c>
      <c r="P6">
        <v>0.38754838709677425</v>
      </c>
      <c r="Q6">
        <v>0.20212903225806456</v>
      </c>
      <c r="R6">
        <v>4.4774193548387117E-2</v>
      </c>
      <c r="S6">
        <v>1.6129032258064518E-3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</v>
      </c>
      <c r="B7">
        <v>0</v>
      </c>
      <c r="C7">
        <v>0</v>
      </c>
      <c r="D7">
        <v>0</v>
      </c>
      <c r="E7">
        <v>8.3333333333333382E-4</v>
      </c>
      <c r="F7">
        <v>3.6133333333333351E-2</v>
      </c>
      <c r="G7">
        <v>0.17646666666666663</v>
      </c>
      <c r="H7">
        <v>0.36246666666666666</v>
      </c>
      <c r="I7">
        <v>0.52110000000000001</v>
      </c>
      <c r="J7">
        <v>0.6366333333333335</v>
      </c>
      <c r="K7">
        <v>0.70649999999999991</v>
      </c>
      <c r="L7">
        <v>0.73443333333333338</v>
      </c>
      <c r="M7">
        <v>0.71640000000000015</v>
      </c>
      <c r="N7">
        <v>0.65499999999999992</v>
      </c>
      <c r="O7">
        <v>0.54936666666666667</v>
      </c>
      <c r="P7">
        <v>0.40033333333333332</v>
      </c>
      <c r="Q7">
        <v>0.21990000000000004</v>
      </c>
      <c r="R7">
        <v>5.180000000000002E-2</v>
      </c>
      <c r="S7">
        <v>6.1666666666666693E-3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</v>
      </c>
      <c r="B8">
        <v>0</v>
      </c>
      <c r="C8">
        <v>0</v>
      </c>
      <c r="D8">
        <v>0</v>
      </c>
      <c r="E8">
        <v>2.2580645161290324E-4</v>
      </c>
      <c r="F8">
        <v>2.9290322580645175E-2</v>
      </c>
      <c r="G8">
        <v>0.16916129032258065</v>
      </c>
      <c r="H8">
        <v>0.36216129032258054</v>
      </c>
      <c r="I8">
        <v>0.52312903225806462</v>
      </c>
      <c r="J8">
        <v>0.63867741935483879</v>
      </c>
      <c r="K8">
        <v>0.70803225806451608</v>
      </c>
      <c r="L8">
        <v>0.73519354838709661</v>
      </c>
      <c r="M8">
        <v>0.71758064516129005</v>
      </c>
      <c r="N8">
        <v>0.65683870967741942</v>
      </c>
      <c r="O8">
        <v>0.5520967741935483</v>
      </c>
      <c r="P8">
        <v>0.40451612903225809</v>
      </c>
      <c r="Q8">
        <v>0.22522580645161294</v>
      </c>
      <c r="R8">
        <v>5.4967741935483871E-2</v>
      </c>
      <c r="S8">
        <v>3.6129032258064527E-3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</v>
      </c>
      <c r="B9">
        <v>0</v>
      </c>
      <c r="C9">
        <v>0</v>
      </c>
      <c r="D9">
        <v>0</v>
      </c>
      <c r="E9">
        <v>0</v>
      </c>
      <c r="F9">
        <v>2.0096774193548397E-2</v>
      </c>
      <c r="G9">
        <v>0.16325806451612901</v>
      </c>
      <c r="H9">
        <v>0.36380645161290326</v>
      </c>
      <c r="I9">
        <v>0.53074193548387094</v>
      </c>
      <c r="J9">
        <v>0.64990322580645155</v>
      </c>
      <c r="K9">
        <v>0.72125806451612895</v>
      </c>
      <c r="L9">
        <v>0.74951612903225817</v>
      </c>
      <c r="M9">
        <v>0.73093548387096785</v>
      </c>
      <c r="N9">
        <v>0.66712903225806464</v>
      </c>
      <c r="O9">
        <v>0.5579354838709677</v>
      </c>
      <c r="P9">
        <v>0.40235483870967736</v>
      </c>
      <c r="Q9">
        <v>0.21374193548387097</v>
      </c>
      <c r="R9">
        <v>4.2903225806451624E-2</v>
      </c>
      <c r="S9">
        <v>6.4516129032258067E-5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3.5000000000000014E-3</v>
      </c>
      <c r="G10">
        <v>0.14116666666666672</v>
      </c>
      <c r="H10">
        <v>0.36023333333333341</v>
      </c>
      <c r="I10">
        <v>0.54293333333333349</v>
      </c>
      <c r="J10">
        <v>0.67120000000000002</v>
      </c>
      <c r="K10">
        <v>0.74560000000000004</v>
      </c>
      <c r="L10">
        <v>0.77393333333333325</v>
      </c>
      <c r="M10">
        <v>0.75319999999999965</v>
      </c>
      <c r="N10">
        <v>0.68496666666666661</v>
      </c>
      <c r="O10">
        <v>0.56666666666666654</v>
      </c>
      <c r="P10">
        <v>0.39623333333333333</v>
      </c>
      <c r="Q10">
        <v>0.18643333333333334</v>
      </c>
      <c r="R10">
        <v>1.4000000000000004E-2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6.3032258064516122E-2</v>
      </c>
      <c r="H11">
        <v>0.27435483870967753</v>
      </c>
      <c r="I11">
        <v>0.48583870967741921</v>
      </c>
      <c r="J11">
        <v>0.62580645161290327</v>
      </c>
      <c r="K11">
        <v>0.70848387096774201</v>
      </c>
      <c r="L11">
        <v>0.73625806451612896</v>
      </c>
      <c r="M11">
        <v>0.69996774193548394</v>
      </c>
      <c r="N11">
        <v>0.61990322580645152</v>
      </c>
      <c r="O11">
        <v>0.49535483870967739</v>
      </c>
      <c r="P11">
        <v>0.32574193548387093</v>
      </c>
      <c r="Q11">
        <v>0.12058064516129034</v>
      </c>
      <c r="R11">
        <v>4.1935483870967743E-4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1.0666666666666668E-2</v>
      </c>
      <c r="H12">
        <v>0.15593333333333334</v>
      </c>
      <c r="I12">
        <v>0.35060000000000002</v>
      </c>
      <c r="J12">
        <v>0.49919999999999998</v>
      </c>
      <c r="K12">
        <v>0.59120000000000017</v>
      </c>
      <c r="L12">
        <v>0.61953333333333327</v>
      </c>
      <c r="M12">
        <v>0.60006666666666675</v>
      </c>
      <c r="N12">
        <v>0.53553333333333331</v>
      </c>
      <c r="O12">
        <v>0.41723333333333329</v>
      </c>
      <c r="P12">
        <v>0.2414</v>
      </c>
      <c r="Q12">
        <v>3.7033333333333328E-2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2.5806451612903227E-4</v>
      </c>
      <c r="H13">
        <v>0.15409677419354842</v>
      </c>
      <c r="I13">
        <v>0.37496774193548388</v>
      </c>
      <c r="J13">
        <v>0.53638709677419338</v>
      </c>
      <c r="K13">
        <v>0.62290322580645163</v>
      </c>
      <c r="L13">
        <v>0.65058064516129044</v>
      </c>
      <c r="M13">
        <v>0.62751612903225806</v>
      </c>
      <c r="N13">
        <v>0.54790322580645168</v>
      </c>
      <c r="O13">
        <v>0.39512903225806456</v>
      </c>
      <c r="P13">
        <v>0.20135483870967738</v>
      </c>
      <c r="Q13">
        <v>9.6129032258064542E-3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</sheetData>
  <conditionalFormatting sqref="A2:X13">
    <cfRule type="cellIs" dxfId="1" priority="1" operator="lessThanOrEqual">
      <formula>0.05</formula>
    </cfRule>
    <cfRule type="cellIs" dxfId="0" priority="2" operator="greaterThan">
      <formula>0.05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0D1A-247A-418C-8C42-F974D2D06717}">
  <dimension ref="A1:X13"/>
  <sheetViews>
    <sheetView zoomScale="85" zoomScaleNormal="85" workbookViewId="0">
      <selection activeCell="N23" sqref="N23"/>
    </sheetView>
  </sheetViews>
  <sheetFormatPr defaultRowHeight="14.4" x14ac:dyDescent="0.3"/>
  <sheetData>
    <row r="1" spans="1:24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3">
      <c r="A2">
        <v>0.2485</v>
      </c>
      <c r="B2">
        <v>0.24603333299999999</v>
      </c>
      <c r="C2">
        <v>0.236935484</v>
      </c>
      <c r="D2">
        <v>0.23074193500000001</v>
      </c>
      <c r="E2">
        <v>0.22916128999999999</v>
      </c>
      <c r="F2">
        <v>0.23635483900000001</v>
      </c>
      <c r="G2">
        <v>0.23748387100000001</v>
      </c>
      <c r="H2">
        <v>0.22725806500000001</v>
      </c>
      <c r="I2">
        <v>0.22783871</v>
      </c>
      <c r="J2">
        <v>0.25045161300000002</v>
      </c>
      <c r="K2">
        <v>0.26674193499999999</v>
      </c>
      <c r="L2">
        <v>0.28206451599999999</v>
      </c>
      <c r="M2">
        <v>0.29922580599999998</v>
      </c>
      <c r="N2">
        <v>0.31</v>
      </c>
      <c r="O2">
        <v>0.30683871000000001</v>
      </c>
      <c r="P2">
        <v>0.27138709700000002</v>
      </c>
      <c r="Q2">
        <v>0.21906451599999999</v>
      </c>
      <c r="R2">
        <v>0.19700000000000001</v>
      </c>
      <c r="S2">
        <v>0.19067741899999999</v>
      </c>
      <c r="T2">
        <v>0.18996774199999999</v>
      </c>
      <c r="U2">
        <v>0.19674193500000001</v>
      </c>
      <c r="V2">
        <v>0.211290323</v>
      </c>
      <c r="W2">
        <v>0.23061290300000001</v>
      </c>
      <c r="X2">
        <v>0.24296774199999999</v>
      </c>
    </row>
    <row r="3" spans="1:24" x14ac:dyDescent="0.3">
      <c r="A3">
        <v>0.177964286</v>
      </c>
      <c r="B3">
        <v>0.17878571400000001</v>
      </c>
      <c r="C3">
        <v>0.17964285699999999</v>
      </c>
      <c r="D3">
        <v>0.181107143</v>
      </c>
      <c r="E3">
        <v>0.17789285699999999</v>
      </c>
      <c r="F3">
        <v>0.17774999999999999</v>
      </c>
      <c r="G3">
        <v>0.18289285699999999</v>
      </c>
      <c r="H3">
        <v>0.174678571</v>
      </c>
      <c r="I3">
        <v>0.17210714299999999</v>
      </c>
      <c r="J3">
        <v>0.18442857100000001</v>
      </c>
      <c r="K3">
        <v>0.20324999999999999</v>
      </c>
      <c r="L3">
        <v>0.21264285699999999</v>
      </c>
      <c r="M3">
        <v>0.21942857099999999</v>
      </c>
      <c r="N3">
        <v>0.22257142899999999</v>
      </c>
      <c r="O3">
        <v>0.21425</v>
      </c>
      <c r="P3">
        <v>0.18928571399999999</v>
      </c>
      <c r="Q3">
        <v>0.16096428600000001</v>
      </c>
      <c r="R3">
        <v>0.153357143</v>
      </c>
      <c r="S3">
        <v>0.15253571399999999</v>
      </c>
      <c r="T3">
        <v>0.15425</v>
      </c>
      <c r="U3">
        <v>0.15896428600000001</v>
      </c>
      <c r="V3">
        <v>0.165428571</v>
      </c>
      <c r="W3">
        <v>0.16725000000000001</v>
      </c>
      <c r="X3">
        <v>0.170821429</v>
      </c>
    </row>
    <row r="4" spans="1:24" x14ac:dyDescent="0.3">
      <c r="A4">
        <v>0.21741935500000001</v>
      </c>
      <c r="B4">
        <v>0.20435483900000001</v>
      </c>
      <c r="C4">
        <v>0.191</v>
      </c>
      <c r="D4">
        <v>0.19119354799999999</v>
      </c>
      <c r="E4">
        <v>0.196451613</v>
      </c>
      <c r="F4">
        <v>0.20364516099999999</v>
      </c>
      <c r="G4">
        <v>0.206935484</v>
      </c>
      <c r="H4">
        <v>0.22264516100000001</v>
      </c>
      <c r="I4">
        <v>0.24316129</v>
      </c>
      <c r="J4">
        <v>0.27980645199999998</v>
      </c>
      <c r="K4">
        <v>0.28951612900000001</v>
      </c>
      <c r="L4">
        <v>0.32003225800000001</v>
      </c>
      <c r="M4">
        <v>0.32561290300000001</v>
      </c>
      <c r="N4">
        <v>0.31354838699999998</v>
      </c>
      <c r="O4">
        <v>0.30325806500000002</v>
      </c>
      <c r="P4">
        <v>0.28596774200000002</v>
      </c>
      <c r="Q4">
        <v>0.260580645</v>
      </c>
      <c r="R4">
        <v>0.22490322600000001</v>
      </c>
      <c r="S4">
        <v>0.21096774200000001</v>
      </c>
      <c r="T4">
        <v>0.20716129</v>
      </c>
      <c r="U4">
        <v>0.20283871000000001</v>
      </c>
      <c r="V4">
        <v>0.20845161300000001</v>
      </c>
      <c r="W4">
        <v>0.22064516100000001</v>
      </c>
      <c r="X4">
        <v>0.22646666700000001</v>
      </c>
    </row>
    <row r="5" spans="1:24" x14ac:dyDescent="0.3">
      <c r="A5">
        <v>0.227533333</v>
      </c>
      <c r="B5">
        <v>0.23706666700000001</v>
      </c>
      <c r="C5">
        <v>0.23773333299999999</v>
      </c>
      <c r="D5">
        <v>0.231133333</v>
      </c>
      <c r="E5">
        <v>0.22016666700000001</v>
      </c>
      <c r="F5">
        <v>0.20810000000000001</v>
      </c>
      <c r="G5">
        <v>0.19259999999999999</v>
      </c>
      <c r="H5">
        <v>0.166833333</v>
      </c>
      <c r="I5">
        <v>0.16146666700000001</v>
      </c>
      <c r="J5">
        <v>0.1678</v>
      </c>
      <c r="K5">
        <v>0.16976666700000001</v>
      </c>
      <c r="L5">
        <v>0.16320000000000001</v>
      </c>
      <c r="M5">
        <v>0.15740000000000001</v>
      </c>
      <c r="N5">
        <v>0.15583333299999999</v>
      </c>
      <c r="O5">
        <v>0.15463333300000001</v>
      </c>
      <c r="P5">
        <v>0.14779999999999999</v>
      </c>
      <c r="Q5">
        <v>0.127033333</v>
      </c>
      <c r="R5">
        <v>0.118533333</v>
      </c>
      <c r="S5">
        <v>0.125033333</v>
      </c>
      <c r="T5">
        <v>0.13846666699999999</v>
      </c>
      <c r="U5">
        <v>0.15279999999999999</v>
      </c>
      <c r="V5">
        <v>0.16470000000000001</v>
      </c>
      <c r="W5">
        <v>0.18856666699999999</v>
      </c>
      <c r="X5">
        <v>0.20803333299999999</v>
      </c>
    </row>
    <row r="6" spans="1:24" x14ac:dyDescent="0.3">
      <c r="A6">
        <v>0.13180645199999999</v>
      </c>
      <c r="B6">
        <v>0.13316128999999999</v>
      </c>
      <c r="C6">
        <v>0.148032258</v>
      </c>
      <c r="D6">
        <v>0.14525806499999999</v>
      </c>
      <c r="E6">
        <v>0.13251612900000001</v>
      </c>
      <c r="F6">
        <v>0.121580645</v>
      </c>
      <c r="G6">
        <v>0.112935484</v>
      </c>
      <c r="H6">
        <v>0.113967742</v>
      </c>
      <c r="I6">
        <v>0.117096774</v>
      </c>
      <c r="J6">
        <v>0.128225806</v>
      </c>
      <c r="K6">
        <v>0.14387096799999999</v>
      </c>
      <c r="L6">
        <v>0.16106451599999999</v>
      </c>
      <c r="M6">
        <v>0.17477419399999999</v>
      </c>
      <c r="N6">
        <v>0.18335483899999999</v>
      </c>
      <c r="O6">
        <v>0.19332258099999999</v>
      </c>
      <c r="P6">
        <v>0.19641935499999999</v>
      </c>
      <c r="Q6">
        <v>0.190096774</v>
      </c>
      <c r="R6">
        <v>0.17396774200000001</v>
      </c>
      <c r="S6">
        <v>0.150516129</v>
      </c>
      <c r="T6">
        <v>0.13480645199999999</v>
      </c>
      <c r="U6">
        <v>0.11712903199999999</v>
      </c>
      <c r="V6">
        <v>0.113</v>
      </c>
      <c r="W6">
        <v>0.118193548</v>
      </c>
      <c r="X6">
        <v>0.132354839</v>
      </c>
    </row>
    <row r="7" spans="1:24" x14ac:dyDescent="0.3">
      <c r="A7">
        <v>3.5000000000000003E-2</v>
      </c>
      <c r="B7">
        <v>3.4333333000000001E-2</v>
      </c>
      <c r="C7">
        <v>3.3333333E-2</v>
      </c>
      <c r="D7">
        <v>3.1633333E-2</v>
      </c>
      <c r="E7">
        <v>3.0566666999999999E-2</v>
      </c>
      <c r="F7">
        <v>2.7566667E-2</v>
      </c>
      <c r="G7">
        <v>3.3599999999999998E-2</v>
      </c>
      <c r="H7">
        <v>4.8033332999999998E-2</v>
      </c>
      <c r="I7">
        <v>6.2700000000000006E-2</v>
      </c>
      <c r="J7">
        <v>8.2466666999999994E-2</v>
      </c>
      <c r="K7">
        <v>0.1037</v>
      </c>
      <c r="L7">
        <v>0.116033333</v>
      </c>
      <c r="M7">
        <v>0.1167</v>
      </c>
      <c r="N7">
        <v>0.11713333300000001</v>
      </c>
      <c r="O7">
        <v>0.113166667</v>
      </c>
      <c r="P7">
        <v>0.109666667</v>
      </c>
      <c r="Q7">
        <v>0.10263333299999999</v>
      </c>
      <c r="R7">
        <v>9.6000000000000002E-2</v>
      </c>
      <c r="S7">
        <v>7.7433332999999993E-2</v>
      </c>
      <c r="T7">
        <v>4.9866667000000003E-2</v>
      </c>
      <c r="U7">
        <v>3.9766666999999999E-2</v>
      </c>
      <c r="V7">
        <v>3.6499999999999998E-2</v>
      </c>
      <c r="W7">
        <v>3.5666666999999999E-2</v>
      </c>
      <c r="X7">
        <v>3.5166666999999999E-2</v>
      </c>
    </row>
    <row r="8" spans="1:24" x14ac:dyDescent="0.3">
      <c r="A8">
        <v>1.2354838999999999E-2</v>
      </c>
      <c r="B8">
        <v>1.3032258E-2</v>
      </c>
      <c r="C8">
        <v>1.3483871E-2</v>
      </c>
      <c r="D8">
        <v>1.3709677E-2</v>
      </c>
      <c r="E8">
        <v>1.3322581E-2</v>
      </c>
      <c r="F8">
        <v>1.0322581000000001E-2</v>
      </c>
      <c r="G8">
        <v>7.3870969999999996E-3</v>
      </c>
      <c r="H8">
        <v>5.8709679999999998E-3</v>
      </c>
      <c r="I8">
        <v>5.3548390000000001E-3</v>
      </c>
      <c r="J8">
        <v>8.0967739999999993E-3</v>
      </c>
      <c r="K8">
        <v>1.3354839E-2</v>
      </c>
      <c r="L8">
        <v>1.5806451999999999E-2</v>
      </c>
      <c r="M8">
        <v>1.4677419000000001E-2</v>
      </c>
      <c r="N8">
        <v>1.4129032E-2</v>
      </c>
      <c r="O8">
        <v>1.4096773999999999E-2</v>
      </c>
      <c r="P8">
        <v>1.5741934999999999E-2</v>
      </c>
      <c r="Q8">
        <v>2.0064516000000001E-2</v>
      </c>
      <c r="R8">
        <v>3.7064515999999999E-2</v>
      </c>
      <c r="S8">
        <v>5.1354838999999999E-2</v>
      </c>
      <c r="T8">
        <v>2.5612902999999999E-2</v>
      </c>
      <c r="U8">
        <v>1.3483871E-2</v>
      </c>
      <c r="V8">
        <v>1.1322581E-2</v>
      </c>
      <c r="W8">
        <v>1.1193547999999999E-2</v>
      </c>
      <c r="X8">
        <v>1.1612903000000001E-2</v>
      </c>
    </row>
    <row r="9" spans="1:24" x14ac:dyDescent="0.3">
      <c r="A9">
        <v>1.7193547999999999E-2</v>
      </c>
      <c r="B9">
        <v>1.6193547999999999E-2</v>
      </c>
      <c r="C9">
        <v>1.4225806000000001E-2</v>
      </c>
      <c r="D9">
        <v>1.1967742E-2</v>
      </c>
      <c r="E9">
        <v>1.0548386999999999E-2</v>
      </c>
      <c r="F9">
        <v>1.0032258E-2</v>
      </c>
      <c r="G9">
        <v>8.8064519999999993E-3</v>
      </c>
      <c r="H9">
        <v>1.1096774E-2</v>
      </c>
      <c r="I9">
        <v>1.5354839E-2</v>
      </c>
      <c r="J9">
        <v>1.8451612999999999E-2</v>
      </c>
      <c r="K9">
        <v>2.5967741999999999E-2</v>
      </c>
      <c r="L9">
        <v>3.3612903E-2</v>
      </c>
      <c r="M9">
        <v>3.7451613000000002E-2</v>
      </c>
      <c r="N9">
        <v>4.0354839000000003E-2</v>
      </c>
      <c r="O9">
        <v>4.2870968000000002E-2</v>
      </c>
      <c r="P9">
        <v>4.7032258E-2</v>
      </c>
      <c r="Q9">
        <v>4.7387097000000003E-2</v>
      </c>
      <c r="R9">
        <v>5.1258064999999998E-2</v>
      </c>
      <c r="S9">
        <v>4.6967742E-2</v>
      </c>
      <c r="T9">
        <v>2.9677419E-2</v>
      </c>
      <c r="U9">
        <v>2.2516128999999999E-2</v>
      </c>
      <c r="V9">
        <v>1.9387096999999999E-2</v>
      </c>
      <c r="W9">
        <v>1.7838710000000001E-2</v>
      </c>
      <c r="X9">
        <v>1.7483871000000002E-2</v>
      </c>
    </row>
    <row r="10" spans="1:24" x14ac:dyDescent="0.3">
      <c r="A10">
        <v>2.5133333000000001E-2</v>
      </c>
      <c r="B10">
        <v>2.52E-2</v>
      </c>
      <c r="C10">
        <v>2.5533332999999998E-2</v>
      </c>
      <c r="D10">
        <v>2.5066667000000001E-2</v>
      </c>
      <c r="E10">
        <v>2.41E-2</v>
      </c>
      <c r="F10">
        <v>2.2499999999999999E-2</v>
      </c>
      <c r="G10">
        <v>1.9333333000000001E-2</v>
      </c>
      <c r="H10">
        <v>2.0566667E-2</v>
      </c>
      <c r="I10">
        <v>3.1600000000000003E-2</v>
      </c>
      <c r="J10">
        <v>4.2966667E-2</v>
      </c>
      <c r="K10">
        <v>5.6633333000000001E-2</v>
      </c>
      <c r="L10">
        <v>6.7266667000000002E-2</v>
      </c>
      <c r="M10">
        <v>7.5800000000000006E-2</v>
      </c>
      <c r="N10">
        <v>8.0566666999999995E-2</v>
      </c>
      <c r="O10">
        <v>7.7299999999999994E-2</v>
      </c>
      <c r="P10">
        <v>7.0066666999999999E-2</v>
      </c>
      <c r="Q10">
        <v>6.7133333000000003E-2</v>
      </c>
      <c r="R10">
        <v>7.3666667000000005E-2</v>
      </c>
      <c r="S10">
        <v>5.7366667000000003E-2</v>
      </c>
      <c r="T10">
        <v>4.3999999999999997E-2</v>
      </c>
      <c r="U10">
        <v>3.5933332999999998E-2</v>
      </c>
      <c r="V10">
        <v>3.1366667000000001E-2</v>
      </c>
      <c r="W10">
        <v>2.93E-2</v>
      </c>
      <c r="X10">
        <v>2.5266667E-2</v>
      </c>
    </row>
    <row r="11" spans="1:24" x14ac:dyDescent="0.3">
      <c r="A11">
        <v>4.8516128999999998E-2</v>
      </c>
      <c r="B11">
        <v>4.5387097000000001E-2</v>
      </c>
      <c r="C11">
        <v>4.0096774000000002E-2</v>
      </c>
      <c r="D11">
        <v>3.4612903E-2</v>
      </c>
      <c r="E11">
        <v>3.0935483999999999E-2</v>
      </c>
      <c r="F11">
        <v>3.4935484000000003E-2</v>
      </c>
      <c r="G11">
        <v>4.1935484000000002E-2</v>
      </c>
      <c r="H11">
        <v>4.0290323000000003E-2</v>
      </c>
      <c r="I11">
        <v>4.4741934999999997E-2</v>
      </c>
      <c r="J11">
        <v>4.9677419E-2</v>
      </c>
      <c r="K11">
        <v>5.7354838999999998E-2</v>
      </c>
      <c r="L11">
        <v>6.5000000000000002E-2</v>
      </c>
      <c r="M11">
        <v>6.6032257999999996E-2</v>
      </c>
      <c r="N11">
        <v>6.3225805999999996E-2</v>
      </c>
      <c r="O11">
        <v>5.8548387E-2</v>
      </c>
      <c r="P11">
        <v>5.9967741999999997E-2</v>
      </c>
      <c r="Q11">
        <v>6.7354839E-2</v>
      </c>
      <c r="R11">
        <v>6.2483871000000003E-2</v>
      </c>
      <c r="S11">
        <v>5.0322580999999998E-2</v>
      </c>
      <c r="T11">
        <v>4.6129032E-2</v>
      </c>
      <c r="U11">
        <v>4.4999999999999998E-2</v>
      </c>
      <c r="V11">
        <v>4.6870967999999999E-2</v>
      </c>
      <c r="W11">
        <v>4.9419354999999998E-2</v>
      </c>
      <c r="X11">
        <v>4.8500000000000001E-2</v>
      </c>
    </row>
    <row r="12" spans="1:24" x14ac:dyDescent="0.3">
      <c r="A12">
        <v>0.167066667</v>
      </c>
      <c r="B12">
        <v>0.16546666700000001</v>
      </c>
      <c r="C12">
        <v>0.16200000000000001</v>
      </c>
      <c r="D12">
        <v>0.16289999999999999</v>
      </c>
      <c r="E12">
        <v>0.15916666700000001</v>
      </c>
      <c r="F12">
        <v>0.15279999999999999</v>
      </c>
      <c r="G12">
        <v>0.15203333299999999</v>
      </c>
      <c r="H12">
        <v>0.138566667</v>
      </c>
      <c r="I12">
        <v>0.12659999999999999</v>
      </c>
      <c r="J12">
        <v>0.121733333</v>
      </c>
      <c r="K12">
        <v>0.1215</v>
      </c>
      <c r="L12">
        <v>0.116466667</v>
      </c>
      <c r="M12">
        <v>0.107133333</v>
      </c>
      <c r="N12">
        <v>9.6666666999999998E-2</v>
      </c>
      <c r="O12">
        <v>8.1799999999999998E-2</v>
      </c>
      <c r="P12">
        <v>7.3066667000000002E-2</v>
      </c>
      <c r="Q12">
        <v>6.8766667000000004E-2</v>
      </c>
      <c r="R12">
        <v>6.6566666999999996E-2</v>
      </c>
      <c r="S12">
        <v>7.5533332999999994E-2</v>
      </c>
      <c r="T12">
        <v>9.0333333000000002E-2</v>
      </c>
      <c r="U12">
        <v>0.106266667</v>
      </c>
      <c r="V12">
        <v>0.12809999999999999</v>
      </c>
      <c r="W12">
        <v>0.148433333</v>
      </c>
      <c r="X12">
        <v>0.16263333299999999</v>
      </c>
    </row>
    <row r="13" spans="1:24" x14ac:dyDescent="0.3">
      <c r="A13">
        <v>6.7437499999999997E-2</v>
      </c>
      <c r="B13">
        <v>6.2968750000000004E-2</v>
      </c>
      <c r="C13">
        <v>5.3064515999999999E-2</v>
      </c>
      <c r="D13">
        <v>4.6709676999999998E-2</v>
      </c>
      <c r="E13">
        <v>4.4838709999999997E-2</v>
      </c>
      <c r="F13">
        <v>4.2870968000000002E-2</v>
      </c>
      <c r="G13">
        <v>3.9032258E-2</v>
      </c>
      <c r="H13">
        <v>3.0967741999999999E-2</v>
      </c>
      <c r="I13">
        <v>2.0516129000000001E-2</v>
      </c>
      <c r="J13">
        <v>1.9E-2</v>
      </c>
      <c r="K13">
        <v>2.1483871000000002E-2</v>
      </c>
      <c r="L13">
        <v>2.8258064999999999E-2</v>
      </c>
      <c r="M13">
        <v>3.4580645E-2</v>
      </c>
      <c r="N13">
        <v>3.5999999999999997E-2</v>
      </c>
      <c r="O13">
        <v>3.8774193999999998E-2</v>
      </c>
      <c r="P13">
        <v>4.6290323000000001E-2</v>
      </c>
      <c r="Q13">
        <v>4.7967742000000001E-2</v>
      </c>
      <c r="R13">
        <v>4.3935483999999997E-2</v>
      </c>
      <c r="S13">
        <v>4.1451612999999998E-2</v>
      </c>
      <c r="T13">
        <v>4.0903226000000001E-2</v>
      </c>
      <c r="U13">
        <v>4.6032258E-2</v>
      </c>
      <c r="V13">
        <v>5.6161290000000003E-2</v>
      </c>
      <c r="W13">
        <v>6.7483871000000001E-2</v>
      </c>
      <c r="X13">
        <v>7.1225806000000003E-2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3689-F340-4D73-AF21-F23AE6441B3C}">
  <dimension ref="A1:U4"/>
  <sheetViews>
    <sheetView zoomScale="91" workbookViewId="0">
      <selection activeCell="I28" sqref="I28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0.81902520187173167</v>
      </c>
      <c r="C2">
        <v>0.62900166383705036</v>
      </c>
      <c r="D2">
        <v>0.42947694890063481</v>
      </c>
      <c r="E2">
        <v>0.21997599821739841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0.9849485649197236</v>
      </c>
      <c r="C3">
        <v>0.96914455808543309</v>
      </c>
      <c r="D3">
        <v>0.9525503509094283</v>
      </c>
      <c r="E3">
        <v>0.93512643337462298</v>
      </c>
      <c r="F3">
        <v>0.91683131996307765</v>
      </c>
      <c r="G3">
        <v>0.89762145088095491</v>
      </c>
      <c r="H3">
        <v>0.87745108834472618</v>
      </c>
      <c r="I3">
        <v>0.85627220768168566</v>
      </c>
      <c r="J3">
        <v>0.83403438298549337</v>
      </c>
      <c r="K3">
        <v>0.81068466705449138</v>
      </c>
      <c r="L3">
        <v>0.7861674653269396</v>
      </c>
      <c r="M3">
        <v>0.76042440351300988</v>
      </c>
      <c r="N3">
        <v>0.73339418860838379</v>
      </c>
      <c r="O3">
        <v>0.70501246295852626</v>
      </c>
      <c r="P3">
        <v>0.67521165102617597</v>
      </c>
      <c r="Q3">
        <v>0.64392079849720818</v>
      </c>
      <c r="R3">
        <v>0.61106540334179216</v>
      </c>
      <c r="S3">
        <v>0.57656723842860502</v>
      </c>
      <c r="T3">
        <v>0.54034416526975881</v>
      </c>
      <c r="U3">
        <v>0.50230993845297001</v>
      </c>
    </row>
    <row r="4" spans="1:21" x14ac:dyDescent="0.3">
      <c r="A4">
        <v>1</v>
      </c>
      <c r="B4">
        <v>0.96975741280930883</v>
      </c>
      <c r="C4">
        <v>0.93800269625908295</v>
      </c>
      <c r="D4">
        <v>0.90466024388134569</v>
      </c>
      <c r="E4">
        <v>0.86965066888472153</v>
      </c>
      <c r="F4">
        <v>0.83289061513826634</v>
      </c>
      <c r="G4">
        <v>0.79429255870448823</v>
      </c>
      <c r="H4">
        <v>0.75376459944902152</v>
      </c>
      <c r="I4">
        <v>0.71121024223078122</v>
      </c>
      <c r="J4">
        <v>0.66652816715162899</v>
      </c>
      <c r="K4">
        <v>0.61961198831851905</v>
      </c>
      <c r="L4">
        <v>0.57035000054375373</v>
      </c>
      <c r="M4">
        <v>0.51862491338024996</v>
      </c>
      <c r="N4">
        <v>0.46431357185857131</v>
      </c>
      <c r="O4">
        <v>0.40728666326080842</v>
      </c>
      <c r="P4">
        <v>0.34740840923315758</v>
      </c>
      <c r="Q4">
        <v>0.28453624250412413</v>
      </c>
      <c r="R4">
        <v>0.21852046743863901</v>
      </c>
      <c r="S4">
        <v>0.14920390361987959</v>
      </c>
      <c r="T4">
        <v>7.6421511610182291E-2</v>
      </c>
      <c r="U4"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E324-03E4-42C1-9938-FD2BDA02B526}">
  <dimension ref="A1:U3"/>
  <sheetViews>
    <sheetView workbookViewId="0">
      <selection activeCell="J5" sqref="J5"/>
    </sheetView>
  </sheetViews>
  <sheetFormatPr defaultRowHeight="14.4" x14ac:dyDescent="0.3"/>
  <cols>
    <col min="1" max="1" width="10.77734375" bestFit="1" customWidth="1"/>
  </cols>
  <sheetData>
    <row r="1" spans="1:2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>
        <v>1</v>
      </c>
      <c r="B2">
        <v>0.9204954250345434</v>
      </c>
      <c r="C2">
        <v>0.83701562132081364</v>
      </c>
      <c r="D2">
        <v>0.7493618274213979</v>
      </c>
      <c r="E2">
        <v>0.65732534382701102</v>
      </c>
      <c r="F2">
        <v>0.56068703605290493</v>
      </c>
      <c r="G2">
        <v>0.45921681289009342</v>
      </c>
      <c r="H2">
        <v>0.35267307856914148</v>
      </c>
      <c r="I2">
        <v>0.24080215753214179</v>
      </c>
      <c r="J2">
        <v>0.12333769044329219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</v>
      </c>
      <c r="B3">
        <v>0.9204954250345434</v>
      </c>
      <c r="C3">
        <v>0.83701562132081364</v>
      </c>
      <c r="D3">
        <v>0.7493618274213979</v>
      </c>
      <c r="E3">
        <v>0.65732534382701102</v>
      </c>
      <c r="F3">
        <v>0.56068703605290493</v>
      </c>
      <c r="G3">
        <v>0.45921681289009342</v>
      </c>
      <c r="H3">
        <v>0.35267307856914148</v>
      </c>
      <c r="I3">
        <v>0.24080215753214179</v>
      </c>
      <c r="J3">
        <v>0.12333769044329219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5CF4C7D56B243BA013D4D2E10914B" ma:contentTypeVersion="17" ma:contentTypeDescription="Create a new document." ma:contentTypeScope="" ma:versionID="4cf0f0325c63a4b40dae9c048b0bab01">
  <xsd:schema xmlns:xsd="http://www.w3.org/2001/XMLSchema" xmlns:xs="http://www.w3.org/2001/XMLSchema" xmlns:p="http://schemas.microsoft.com/office/2006/metadata/properties" xmlns:ns3="6d4e152b-60f6-4719-8921-68b5b8011cde" xmlns:ns4="28683373-984a-4841-9f0e-018f3f7bab1f" targetNamespace="http://schemas.microsoft.com/office/2006/metadata/properties" ma:root="true" ma:fieldsID="f3c862440f36400a210112c32a26c38f" ns3:_="" ns4:_="">
    <xsd:import namespace="6d4e152b-60f6-4719-8921-68b5b8011cde"/>
    <xsd:import namespace="28683373-984a-4841-9f0e-018f3f7bab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152b-60f6-4719-8921-68b5b8011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83373-984a-4841-9f0e-018f3f7ba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e152b-60f6-4719-8921-68b5b8011cde" xsi:nil="true"/>
  </documentManagement>
</p:properties>
</file>

<file path=customXml/itemProps1.xml><?xml version="1.0" encoding="utf-8"?>
<ds:datastoreItem xmlns:ds="http://schemas.openxmlformats.org/officeDocument/2006/customXml" ds:itemID="{354AD289-05DB-4CAC-9FCA-F4FC5904F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152b-60f6-4719-8921-68b5b8011cde"/>
    <ds:schemaRef ds:uri="28683373-984a-4841-9f0e-018f3f7ba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97FF7D-C536-4325-9C12-F983F80B8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7C9CC4-B86C-406F-B761-DE5729E80C63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28683373-984a-4841-9f0e-018f3f7bab1f"/>
    <ds:schemaRef ds:uri="http://purl.org/dc/terms/"/>
    <ds:schemaRef ds:uri="6d4e152b-60f6-4719-8921-68b5b8011cde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 Parameters</vt:lpstr>
      <vt:lpstr>Probabilities</vt:lpstr>
      <vt:lpstr>Generation</vt:lpstr>
      <vt:lpstr>Generation Unit Capex</vt:lpstr>
      <vt:lpstr>Storage</vt:lpstr>
      <vt:lpstr>Storage Power Unit Capex</vt:lpstr>
      <vt:lpstr>Storage Energy Unit Capex</vt:lpstr>
      <vt:lpstr>Time Frame</vt:lpstr>
      <vt:lpstr>Hourly Demand</vt:lpstr>
      <vt:lpstr>Demand Forecast</vt:lpstr>
      <vt:lpstr>Fuel Prices</vt:lpstr>
      <vt:lpstr>PV CF</vt:lpstr>
      <vt:lpstr>Wind CF</vt:lpstr>
      <vt:lpstr>Rm Val</vt:lpstr>
      <vt:lpstr>Rm ValS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ccss</dc:creator>
  <cp:keywords/>
  <dc:description/>
  <cp:lastModifiedBy>Kareem Abou Jalad (Student)</cp:lastModifiedBy>
  <cp:revision/>
  <dcterms:created xsi:type="dcterms:W3CDTF">2023-06-16T09:21:10Z</dcterms:created>
  <dcterms:modified xsi:type="dcterms:W3CDTF">2025-05-29T22:51:29Z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0x010100D835CF4C7D56B243BA013D4D2E10914B</vt:lpwstr>
  </property>
</Properties>
</file>